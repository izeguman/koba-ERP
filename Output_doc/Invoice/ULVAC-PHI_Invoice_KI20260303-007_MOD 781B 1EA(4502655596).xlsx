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940" yWindow="30" windowWidth="15780" windowHeight="23025" tabRatio="600" firstSheet="0" activeTab="0" autoFilterDateGrouping="1"/>
  </bookViews>
  <sheets>
    <sheet name="Sheet1" sheetId="1" state="visible" r:id="rId1"/>
  </sheets>
  <definedNames>
    <definedName name="_xlnm.Print_Area" localSheetId="0">'Sheet1'!$A$1:$AK$44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¥-411]#,##0\ "/>
  </numFmts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Tahoma"/>
      <family val="2"/>
      <b val="1"/>
      <color theme="1"/>
      <sz val="28"/>
    </font>
    <font>
      <name val="Tahoma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color theme="1"/>
      <sz val="12"/>
    </font>
    <font>
      <name val="Tahoma"/>
      <family val="2"/>
      <b val="1"/>
      <color theme="1"/>
      <sz val="12"/>
    </font>
  </fonts>
  <fills count="2">
    <fill>
      <patternFill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/>
      <top style="medium">
        <color indexed="64"/>
      </top>
      <bottom style="thin">
        <color indexed="64"/>
      </bottom>
    </border>
    <border>
      <left/>
      <right style="medium"/>
      <top style="thin">
        <color indexed="64"/>
      </top>
      <bottom style="medium">
        <color indexed="64"/>
      </bottom>
    </border>
    <border>
      <left/>
      <right style="medium"/>
      <top style="thin">
        <color indexed="64"/>
      </top>
      <bottom style="thin">
        <color indexed="64"/>
      </bottom>
    </border>
  </borders>
  <cellStyleXfs count="1">
    <xf numFmtId="0" fontId="0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5" fontId="3" fillId="0" borderId="8" applyAlignment="1" pivotButton="0" quotePrefix="0" xfId="0">
      <alignment horizontal="center" vertical="center"/>
    </xf>
    <xf numFmtId="15" fontId="3" fillId="0" borderId="9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 indent="1"/>
    </xf>
    <xf numFmtId="0" fontId="3" fillId="0" borderId="23" applyAlignment="1" pivotButton="0" quotePrefix="0" xfId="0">
      <alignment horizontal="left" vertical="center" indent="1"/>
    </xf>
    <xf numFmtId="0" fontId="3" fillId="0" borderId="24" applyAlignment="1" pivotButton="0" quotePrefix="0" xfId="0">
      <alignment horizontal="left" vertical="center" indent="1"/>
    </xf>
    <xf numFmtId="0" fontId="4" fillId="0" borderId="1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indent="1"/>
    </xf>
    <xf numFmtId="0" fontId="3" fillId="0" borderId="11" applyAlignment="1" pivotButton="0" quotePrefix="0" xfId="0">
      <alignment horizontal="left" vertical="center" indent="1"/>
    </xf>
    <xf numFmtId="15" fontId="3" fillId="0" borderId="19" applyAlignment="1" applyProtection="1" pivotButton="0" quotePrefix="0" xfId="0">
      <alignment horizontal="left" vertical="center" indent="1"/>
      <protection locked="0" hidden="0"/>
    </xf>
    <xf numFmtId="15" fontId="3" fillId="0" borderId="20" applyAlignment="1" applyProtection="1" pivotButton="0" quotePrefix="0" xfId="0">
      <alignment horizontal="left" vertical="center" indent="1"/>
      <protection locked="0" hidden="0"/>
    </xf>
    <xf numFmtId="15" fontId="3" fillId="0" borderId="21" applyAlignment="1" applyProtection="1" pivotButton="0" quotePrefix="0" xfId="0">
      <alignment horizontal="left" vertical="center" indent="1"/>
      <protection locked="0" hidden="0"/>
    </xf>
    <xf numFmtId="0" fontId="6" fillId="0" borderId="28" applyAlignment="1" pivotButton="0" quotePrefix="0" xfId="0">
      <alignment horizontal="center" vertical="center"/>
    </xf>
    <xf numFmtId="164" fontId="3" fillId="0" borderId="22" applyAlignment="1" pivotButton="0" quotePrefix="0" xfId="0">
      <alignment horizontal="right" vertical="center"/>
    </xf>
    <xf numFmtId="164" fontId="3" fillId="0" borderId="23" applyAlignment="1" pivotButton="0" quotePrefix="0" xfId="0">
      <alignment horizontal="right" vertical="center"/>
    </xf>
    <xf numFmtId="164" fontId="3" fillId="0" borderId="29" applyAlignment="1" pivotButton="0" quotePrefix="0" xfId="0">
      <alignment horizontal="right" vertical="center"/>
    </xf>
    <xf numFmtId="0" fontId="3" fillId="0" borderId="22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4" applyAlignment="1" pivotButton="0" quotePrefix="0" xfId="0">
      <alignment horizontal="righ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1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5" applyAlignment="1" pivotButton="0" quotePrefix="1" xfId="0">
      <alignment horizontal="left" vertical="center" indent="1"/>
    </xf>
    <xf numFmtId="0" fontId="3" fillId="0" borderId="5" applyAlignment="1" pivotButton="0" quotePrefix="0" xfId="0">
      <alignment horizontal="left" vertical="center" indent="1"/>
    </xf>
    <xf numFmtId="0" fontId="3" fillId="0" borderId="6" applyAlignment="1" pivotButton="0" quotePrefix="0" xfId="0">
      <alignment horizontal="left" vertical="center" indent="1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6" pivotButton="0" quotePrefix="0" xfId="0"/>
    <xf numFmtId="0" fontId="0" fillId="0" borderId="2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38" pivotButton="0" quotePrefix="0" xfId="0"/>
    <xf numFmtId="15" fontId="3" fillId="0" borderId="9" applyAlignment="1" applyProtection="1" pivotButton="0" quotePrefix="0" xfId="0">
      <alignment horizontal="left" vertical="center" inden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6" fillId="0" borderId="6" applyAlignment="1" pivotButton="0" quotePrefix="0" xfId="0">
      <alignment horizontal="center" vertical="center"/>
    </xf>
    <xf numFmtId="0" fontId="0" fillId="0" borderId="28" pivotButton="0" quotePrefix="0" xfId="0"/>
    <xf numFmtId="164" fontId="3" fillId="0" borderId="1" applyAlignment="1" pivotButton="0" quotePrefix="0" xfId="0">
      <alignment horizontal="right" vertical="center"/>
    </xf>
    <xf numFmtId="164" fontId="3" fillId="0" borderId="11" applyAlignment="1" pivotButton="0" quotePrefix="0" xfId="0">
      <alignment horizontal="right" vertical="center"/>
    </xf>
    <xf numFmtId="0" fontId="0" fillId="0" borderId="29" pivotButton="0" quotePrefix="0" xfId="0"/>
    <xf numFmtId="0" fontId="6" fillId="0" borderId="1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25</col>
      <colOff>148215</colOff>
      <row>36</row>
      <rowOff>69273</rowOff>
    </from>
    <to>
      <col>31</col>
      <colOff>41181</colOff>
      <row>39</row>
      <rowOff>157944</rowOff>
    </to>
    <pic>
      <nvPicPr>
        <cNvPr id="5" name="그림 4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6053715" y="10882053"/>
          <a:ext cx="1310286" cy="61445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31</col>
      <colOff>86732</colOff>
      <row>36</row>
      <rowOff>8659</rowOff>
    </from>
    <to>
      <col>34</col>
      <colOff>61827</colOff>
      <row>39</row>
      <rowOff>153320</rowOff>
    </to>
    <pic>
      <nvPicPr>
        <cNvPr id="6" name="그림 5" descr="인감.png"/>
        <cNvPicPr>
          <a:picLocks noChangeAspect="1"/>
        </cNvPicPr>
      </nvPicPr>
      <blipFill>
        <a:blip cstate="print" r:embed="rId2">
          <clrChange>
            <clrFrom/>
            <clrTo/>
          </clrChange>
        </a:blip>
        <a:stretch>
          <a:fillRect/>
        </a:stretch>
      </blipFill>
      <spPr>
        <a:xfrm>
          <a:off x="7602823" y="7888432"/>
          <a:ext cx="702459" cy="69018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K41"/>
  <sheetViews>
    <sheetView tabSelected="1" view="pageBreakPreview" zoomScaleNormal="100" zoomScaleSheetLayoutView="100" workbookViewId="0">
      <selection activeCell="K23" sqref="K23:Y23"/>
    </sheetView>
  </sheetViews>
  <sheetFormatPr baseColWidth="8" defaultColWidth="3.125" defaultRowHeight="14.25"/>
  <cols>
    <col width="3.125" customWidth="1" style="1" min="1" max="16384"/>
  </cols>
  <sheetData>
    <row r="1" ht="33" customHeight="1" s="59"/>
    <row r="2" ht="34.5" customHeight="1" s="59">
      <c r="B2" s="15" t="inlineStr">
        <is>
          <t>INVOICE</t>
        </is>
      </c>
    </row>
    <row r="3" ht="20.25" customHeight="1" s="59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</row>
    <row r="4" ht="20.25" customHeight="1" s="59" thickBo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</row>
    <row r="5" ht="19.5" customHeight="1" s="59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20" t="inlineStr">
        <is>
          <t xml:space="preserve">   Invoice No.</t>
        </is>
      </c>
      <c r="V5" s="60" t="n"/>
      <c r="W5" s="60" t="n"/>
      <c r="X5" s="60" t="n"/>
      <c r="Y5" s="61" t="n"/>
      <c r="Z5" s="16" t="inlineStr">
        <is>
          <t>KI20260303-007</t>
        </is>
      </c>
      <c r="AA5" s="60" t="n"/>
      <c r="AB5" s="60" t="n"/>
      <c r="AC5" s="60" t="n"/>
      <c r="AD5" s="60" t="n"/>
      <c r="AE5" s="60" t="n"/>
      <c r="AF5" s="60" t="n"/>
      <c r="AG5" s="60" t="n"/>
      <c r="AH5" s="60" t="n"/>
      <c r="AI5" s="62" t="n"/>
      <c r="AJ5" s="62" t="n"/>
      <c r="AK5" s="15" t="n"/>
    </row>
    <row r="6" ht="19.5" customHeight="1" s="59" thickBot="1"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22" t="inlineStr">
        <is>
          <t xml:space="preserve">   Date</t>
        </is>
      </c>
      <c r="V6" s="63" t="n"/>
      <c r="W6" s="63" t="n"/>
      <c r="X6" s="63" t="n"/>
      <c r="Y6" s="64" t="n"/>
      <c r="Z6" s="18" t="inlineStr">
        <is>
          <t>3-Mar-26</t>
        </is>
      </c>
      <c r="AA6" s="63" t="n"/>
      <c r="AB6" s="63" t="n"/>
      <c r="AC6" s="63" t="n"/>
      <c r="AD6" s="63" t="n"/>
      <c r="AE6" s="63" t="n"/>
      <c r="AF6" s="63" t="n"/>
      <c r="AG6" s="63" t="n"/>
      <c r="AH6" s="63" t="n"/>
      <c r="AI6" s="65" t="n"/>
      <c r="AJ6" s="65" t="n"/>
      <c r="AK6" s="15" t="n"/>
    </row>
    <row r="7" ht="19.5" customHeight="1" s="59"/>
    <row r="8" ht="19.5" customHeight="1" s="59"/>
    <row r="9" ht="19.5" customHeight="1" s="59">
      <c r="B9" s="4" t="inlineStr">
        <is>
          <t xml:space="preserve">Bill To : </t>
        </is>
      </c>
      <c r="E9" s="3" t="inlineStr">
        <is>
          <t>ULVAC-PHI, INC.</t>
        </is>
      </c>
      <c r="T9" s="4" t="inlineStr">
        <is>
          <t>Sender :</t>
        </is>
      </c>
      <c r="W9" s="1" t="inlineStr">
        <is>
          <t>KOBATECH Co., Ltd</t>
        </is>
      </c>
    </row>
    <row r="10" ht="19.5" customHeight="1" s="59">
      <c r="E10" s="1" t="inlineStr">
        <is>
          <t>2500 Hagisono, Chigasaki, Kanagawa,</t>
        </is>
      </c>
      <c r="W10" s="1" t="inlineStr">
        <is>
          <t>324-40 Sinwolsou-Gil, Seonggeo-Eup, Seobuk-Gu,</t>
        </is>
      </c>
    </row>
    <row r="11" ht="19.5" customHeight="1" s="59">
      <c r="E11" s="1" t="inlineStr">
        <is>
          <t>JAPAN</t>
        </is>
      </c>
      <c r="W11" s="1" t="inlineStr">
        <is>
          <t>Cheonan, Chungnam, KOREA</t>
        </is>
      </c>
    </row>
    <row r="12" ht="19.5" customHeight="1" s="59"/>
    <row r="13" ht="19.5" customHeight="1" s="59">
      <c r="E13" s="1" t="inlineStr">
        <is>
          <t>TEL : +81-467-85-4983 / FAX : +81-467-85-4411</t>
        </is>
      </c>
      <c r="W13" s="1" t="inlineStr">
        <is>
          <t>TEL : +82-10-3267-8636 / FAX : +82-504-089-1836</t>
        </is>
      </c>
    </row>
    <row r="14" ht="19.5" customHeight="1" s="59">
      <c r="E14" s="1" t="inlineStr">
        <is>
          <t>E-Mail : hitomi_monzonpersivale@ulvac.com</t>
        </is>
      </c>
      <c r="W14" s="1" t="inlineStr">
        <is>
          <t>E-Mail : kobatech@kobatech.co.kr</t>
        </is>
      </c>
    </row>
    <row r="15" ht="15" customHeight="1" s="59" thickBot="1"/>
    <row r="16" ht="25.5" customHeight="1" s="59">
      <c r="B16" s="46" t="inlineStr">
        <is>
          <t>Purchase Order Number</t>
        </is>
      </c>
      <c r="C16" s="60" t="n"/>
      <c r="D16" s="60" t="n"/>
      <c r="E16" s="60" t="n"/>
      <c r="F16" s="60" t="n"/>
      <c r="G16" s="60" t="n"/>
      <c r="H16" s="60" t="n"/>
      <c r="I16" s="61" t="n"/>
      <c r="J16" s="51" t="inlineStr">
        <is>
          <t>4502655596</t>
        </is>
      </c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2" t="n"/>
      <c r="AJ16" s="62" t="n"/>
    </row>
    <row r="17" ht="25.5" customHeight="1" s="59">
      <c r="B17" s="30" t="inlineStr">
        <is>
          <t>Price Terms</t>
        </is>
      </c>
      <c r="C17" s="66" t="n"/>
      <c r="D17" s="66" t="n"/>
      <c r="E17" s="66" t="n"/>
      <c r="F17" s="66" t="n"/>
      <c r="G17" s="66" t="n"/>
      <c r="H17" s="66" t="n"/>
      <c r="I17" s="67" t="n"/>
      <c r="J17" s="34" t="inlineStr">
        <is>
          <t>100% Prior Move-In</t>
        </is>
      </c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8" t="n"/>
      <c r="AJ17" s="68" t="n"/>
    </row>
    <row r="18" ht="25.5" customHeight="1" s="59">
      <c r="B18" s="30" t="inlineStr">
        <is>
          <t>Terms of Payment</t>
        </is>
      </c>
      <c r="C18" s="66" t="n"/>
      <c r="D18" s="66" t="n"/>
      <c r="E18" s="66" t="n"/>
      <c r="F18" s="66" t="n"/>
      <c r="G18" s="66" t="n"/>
      <c r="H18" s="66" t="n"/>
      <c r="I18" s="67" t="n"/>
      <c r="J18" s="34" t="inlineStr">
        <is>
          <t>100% T/T</t>
        </is>
      </c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8" t="n"/>
      <c r="AJ18" s="68" t="n"/>
    </row>
    <row r="19" ht="25.5" customHeight="1" s="59">
      <c r="B19" s="30" t="inlineStr">
        <is>
          <t>Sales Terms</t>
        </is>
      </c>
      <c r="C19" s="66" t="n"/>
      <c r="D19" s="66" t="n"/>
      <c r="E19" s="66" t="n"/>
      <c r="F19" s="66" t="n"/>
      <c r="G19" s="66" t="n"/>
      <c r="H19" s="66" t="n"/>
      <c r="I19" s="67" t="n"/>
      <c r="J19" s="34" t="inlineStr">
        <is>
          <t>T/T</t>
        </is>
      </c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8" t="n"/>
      <c r="AJ19" s="68" t="n"/>
    </row>
    <row r="20" ht="25.5" customHeight="1" s="59" thickBot="1">
      <c r="B20" s="32" t="inlineStr">
        <is>
          <t>Payment Due</t>
        </is>
      </c>
      <c r="C20" s="63" t="n"/>
      <c r="D20" s="63" t="n"/>
      <c r="E20" s="63" t="n"/>
      <c r="F20" s="63" t="n"/>
      <c r="G20" s="63" t="n"/>
      <c r="H20" s="63" t="n"/>
      <c r="I20" s="64" t="n"/>
      <c r="J20" s="69" t="inlineStr">
        <is>
          <t>15-Apr-26</t>
        </is>
      </c>
      <c r="K20" s="70" t="n"/>
      <c r="L20" s="70" t="n"/>
      <c r="M20" s="70" t="n"/>
      <c r="N20" s="70" t="n"/>
      <c r="O20" s="70" t="n"/>
      <c r="P20" s="70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1" t="n"/>
      <c r="AJ20" s="71" t="n"/>
    </row>
    <row r="21" ht="15" customHeight="1" s="59" thickBot="1"/>
    <row r="22" ht="29.25" customHeight="1" s="59">
      <c r="B22" s="54" t="inlineStr">
        <is>
          <t>No.</t>
        </is>
      </c>
      <c r="C22" s="61" t="n"/>
      <c r="D22" s="55" t="inlineStr">
        <is>
          <t>Item Code</t>
        </is>
      </c>
      <c r="E22" s="60" t="n"/>
      <c r="F22" s="60" t="n"/>
      <c r="G22" s="60" t="n"/>
      <c r="H22" s="61" t="n"/>
      <c r="I22" s="55" t="inlineStr">
        <is>
          <t>Rev.</t>
        </is>
      </c>
      <c r="J22" s="61" t="n"/>
      <c r="K22" s="55" t="inlineStr">
        <is>
          <t>Sales Item</t>
        </is>
      </c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1" t="n"/>
      <c r="Z22" s="55" t="inlineStr">
        <is>
          <t>Q'ty</t>
        </is>
      </c>
      <c r="AA22" s="61" t="n"/>
      <c r="AB22" s="55" t="inlineStr">
        <is>
          <t>Unit Price</t>
        </is>
      </c>
      <c r="AC22" s="60" t="n"/>
      <c r="AD22" s="60" t="n"/>
      <c r="AE22" s="61" t="n"/>
      <c r="AF22" s="72" t="inlineStr">
        <is>
          <t>Amount</t>
        </is>
      </c>
      <c r="AG22" s="60" t="n"/>
      <c r="AH22" s="60" t="n"/>
      <c r="AI22" s="60" t="n"/>
      <c r="AJ22" s="73" t="n"/>
    </row>
    <row r="23" ht="29.25" customHeight="1" s="59">
      <c r="B23" s="48" t="n">
        <v>1</v>
      </c>
      <c r="C23" s="67" t="n"/>
      <c r="D23" s="49" t="inlineStr">
        <is>
          <t>B10000852323</t>
        </is>
      </c>
      <c r="E23" s="66" t="n"/>
      <c r="F23" s="66" t="n"/>
      <c r="G23" s="66" t="n"/>
      <c r="H23" s="67" t="n"/>
      <c r="I23" s="49" t="inlineStr">
        <is>
          <t>B</t>
        </is>
      </c>
      <c r="J23" s="67" t="n"/>
      <c r="K23" s="34" t="inlineStr">
        <is>
          <t>ASSY-MOD 781B DEFL CTRL,FLTRD,TESTED</t>
        </is>
      </c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7" t="n"/>
      <c r="Z23" s="49" t="n">
        <v>1</v>
      </c>
      <c r="AA23" s="67" t="n"/>
      <c r="AB23" s="74" t="n">
        <v>580000</v>
      </c>
      <c r="AC23" s="66" t="n"/>
      <c r="AD23" s="66" t="n"/>
      <c r="AE23" s="67" t="n"/>
      <c r="AF23" s="75">
        <f>Z23*AB23</f>
        <v/>
      </c>
      <c r="AG23" s="66" t="n"/>
      <c r="AH23" s="66" t="n"/>
      <c r="AI23" s="66" t="n"/>
      <c r="AJ23" s="76" t="n"/>
    </row>
    <row r="24" ht="29.25" customHeight="1" s="59">
      <c r="B24" s="48" t="n">
        <v>2</v>
      </c>
      <c r="C24" s="67" t="n"/>
      <c r="D24" s="49" t="n"/>
      <c r="E24" s="66" t="n"/>
      <c r="F24" s="66" t="n"/>
      <c r="G24" s="66" t="n"/>
      <c r="H24" s="67" t="n"/>
      <c r="I24" s="49" t="n"/>
      <c r="J24" s="67" t="n"/>
      <c r="K24" s="34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7" t="n"/>
      <c r="Z24" s="49" t="n"/>
      <c r="AA24" s="67" t="n"/>
      <c r="AB24" s="74" t="n"/>
      <c r="AC24" s="66" t="n"/>
      <c r="AD24" s="66" t="n"/>
      <c r="AE24" s="67" t="n"/>
      <c r="AF24" s="75" t="n"/>
      <c r="AG24" s="66" t="n"/>
      <c r="AH24" s="66" t="n"/>
      <c r="AI24" s="66" t="n"/>
      <c r="AJ24" s="76" t="n"/>
    </row>
    <row r="25" ht="29.25" customHeight="1" s="59">
      <c r="B25" s="48" t="n">
        <v>3</v>
      </c>
      <c r="C25" s="67" t="n"/>
      <c r="D25" s="49" t="n"/>
      <c r="E25" s="66" t="n"/>
      <c r="F25" s="66" t="n"/>
      <c r="G25" s="66" t="n"/>
      <c r="H25" s="67" t="n"/>
      <c r="I25" s="49" t="n"/>
      <c r="J25" s="67" t="n"/>
      <c r="K25" s="34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7" t="n"/>
      <c r="Z25" s="49" t="n"/>
      <c r="AA25" s="67" t="n"/>
      <c r="AB25" s="74" t="n"/>
      <c r="AC25" s="66" t="n"/>
      <c r="AD25" s="66" t="n"/>
      <c r="AE25" s="67" t="n"/>
      <c r="AF25" s="75" t="n"/>
      <c r="AG25" s="66" t="n"/>
      <c r="AH25" s="66" t="n"/>
      <c r="AI25" s="66" t="n"/>
      <c r="AJ25" s="76" t="n"/>
    </row>
    <row r="26" ht="29.25" customHeight="1" s="59">
      <c r="B26" s="48" t="n">
        <v>4</v>
      </c>
      <c r="C26" s="67" t="n"/>
      <c r="D26" s="49" t="n"/>
      <c r="E26" s="66" t="n"/>
      <c r="F26" s="66" t="n"/>
      <c r="G26" s="66" t="n"/>
      <c r="H26" s="67" t="n"/>
      <c r="I26" s="49" t="n"/>
      <c r="J26" s="67" t="n"/>
      <c r="K26" s="34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7" t="n"/>
      <c r="Z26" s="49" t="n"/>
      <c r="AA26" s="67" t="n"/>
      <c r="AB26" s="74" t="n"/>
      <c r="AC26" s="66" t="n"/>
      <c r="AD26" s="66" t="n"/>
      <c r="AE26" s="67" t="n"/>
      <c r="AF26" s="75" t="n"/>
      <c r="AG26" s="66" t="n"/>
      <c r="AH26" s="66" t="n"/>
      <c r="AI26" s="66" t="n"/>
      <c r="AJ26" s="76" t="n"/>
    </row>
    <row r="27" ht="29.25" customHeight="1" s="59">
      <c r="B27" s="48" t="n">
        <v>5</v>
      </c>
      <c r="C27" s="67" t="n"/>
      <c r="D27" s="49" t="n"/>
      <c r="E27" s="66" t="n"/>
      <c r="F27" s="66" t="n"/>
      <c r="G27" s="66" t="n"/>
      <c r="H27" s="67" t="n"/>
      <c r="I27" s="49" t="n"/>
      <c r="J27" s="67" t="n"/>
      <c r="K27" s="34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7" t="n"/>
      <c r="Z27" s="49" t="n"/>
      <c r="AA27" s="67" t="n"/>
      <c r="AB27" s="74" t="n"/>
      <c r="AC27" s="66" t="n"/>
      <c r="AD27" s="66" t="n"/>
      <c r="AE27" s="67" t="n"/>
      <c r="AF27" s="75" t="n"/>
      <c r="AG27" s="66" t="n"/>
      <c r="AH27" s="66" t="n"/>
      <c r="AI27" s="66" t="n"/>
      <c r="AJ27" s="76" t="n"/>
    </row>
    <row r="28" ht="28.5" customHeight="1" s="59">
      <c r="B28" s="77" t="inlineStr">
        <is>
          <t>Total</t>
        </is>
      </c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7" t="n"/>
      <c r="AF28" s="75">
        <f>SUM(AE23:AJ25)</f>
        <v/>
      </c>
      <c r="AG28" s="66" t="n"/>
      <c r="AH28" s="66" t="n"/>
      <c r="AI28" s="66" t="n"/>
      <c r="AJ28" s="76" t="n"/>
    </row>
    <row r="29" ht="27" customHeight="1" s="59">
      <c r="B29" s="8" t="inlineStr">
        <is>
          <t>Remark</t>
        </is>
      </c>
      <c r="C29" s="5" t="n"/>
      <c r="D29" s="5" t="n"/>
      <c r="E29" s="6" t="inlineStr">
        <is>
          <t>Bank Information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9" t="n"/>
    </row>
    <row r="30" ht="27" customHeight="1" s="59">
      <c r="B30" s="10" t="n"/>
      <c r="E30" s="1" t="inlineStr">
        <is>
          <t>Bank Name :</t>
        </is>
      </c>
      <c r="K30" s="1" t="inlineStr">
        <is>
          <t>Industrial Bank of Korea</t>
        </is>
      </c>
      <c r="AJ30" s="11" t="n"/>
    </row>
    <row r="31" ht="27" customHeight="1" s="59">
      <c r="B31" s="10" t="n"/>
      <c r="E31" s="1" t="inlineStr">
        <is>
          <t>Beneficaiary Name :</t>
        </is>
      </c>
      <c r="K31" s="1" t="inlineStr">
        <is>
          <t>KOBATECH CO.,LTD</t>
        </is>
      </c>
      <c r="AJ31" s="11" t="n"/>
    </row>
    <row r="32" ht="27" customHeight="1" s="59">
      <c r="B32" s="10" t="n"/>
      <c r="E32" s="1" t="inlineStr">
        <is>
          <t>Account Number :</t>
        </is>
      </c>
      <c r="K32" s="1" t="inlineStr">
        <is>
          <t>489-033567-56-00015</t>
        </is>
      </c>
      <c r="AJ32" s="11" t="n"/>
    </row>
    <row r="33" ht="27" customHeight="1" s="59">
      <c r="B33" s="10" t="n"/>
      <c r="E33" s="1" t="inlineStr">
        <is>
          <t>Swift Code :</t>
        </is>
      </c>
      <c r="K33" s="1" t="inlineStr">
        <is>
          <t>IBKOKRSE</t>
        </is>
      </c>
      <c r="AJ33" s="11" t="n"/>
    </row>
    <row r="34" ht="15" customHeight="1" s="59" thickBot="1">
      <c r="B34" s="12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4" t="n"/>
    </row>
    <row r="35" ht="33" customHeight="1" s="59"/>
    <row r="36">
      <c r="W36" s="1" t="inlineStr">
        <is>
          <t>Signature</t>
        </is>
      </c>
    </row>
    <row r="40" ht="15" customHeight="1" s="59" thickBot="1"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</row>
    <row r="41" ht="15" customHeight="1" s="59" thickTop="1">
      <c r="AE41" s="1" t="inlineStr">
        <is>
          <t>KOBATECH Co.,Ltd.</t>
        </is>
      </c>
    </row>
  </sheetData>
  <mergeCells count="59">
    <mergeCell ref="K26:Y26"/>
    <mergeCell ref="AB23:AE23"/>
    <mergeCell ref="B25:C25"/>
    <mergeCell ref="Z6:AJ6"/>
    <mergeCell ref="B16:I16"/>
    <mergeCell ref="U6:Y6"/>
    <mergeCell ref="I27:J27"/>
    <mergeCell ref="Z27:AA27"/>
    <mergeCell ref="AF24:AJ24"/>
    <mergeCell ref="B22:C22"/>
    <mergeCell ref="K22:Y22"/>
    <mergeCell ref="B2:AK2"/>
    <mergeCell ref="B27:C27"/>
    <mergeCell ref="D22:H22"/>
    <mergeCell ref="Z26:AA26"/>
    <mergeCell ref="I26:J26"/>
    <mergeCell ref="B18:I18"/>
    <mergeCell ref="Z25:AA25"/>
    <mergeCell ref="D26:H26"/>
    <mergeCell ref="J20:AJ20"/>
    <mergeCell ref="K27:Y27"/>
    <mergeCell ref="I25:J25"/>
    <mergeCell ref="B23:C23"/>
    <mergeCell ref="D27:H27"/>
    <mergeCell ref="AF25:AJ25"/>
    <mergeCell ref="AB24:AE24"/>
    <mergeCell ref="J16:AJ16"/>
    <mergeCell ref="B28:AE28"/>
    <mergeCell ref="I22:J22"/>
    <mergeCell ref="K23:Y23"/>
    <mergeCell ref="Z22:AA22"/>
    <mergeCell ref="B17:I17"/>
    <mergeCell ref="AB26:AE26"/>
    <mergeCell ref="I24:J24"/>
    <mergeCell ref="B19:I19"/>
    <mergeCell ref="Z23:AA23"/>
    <mergeCell ref="I23:J23"/>
    <mergeCell ref="Z5:AJ5"/>
    <mergeCell ref="AB25:AE25"/>
    <mergeCell ref="J18:AJ18"/>
    <mergeCell ref="K25:Y25"/>
    <mergeCell ref="AF23:AJ23"/>
    <mergeCell ref="J17:AJ17"/>
    <mergeCell ref="B24:C24"/>
    <mergeCell ref="AF26:AJ26"/>
    <mergeCell ref="D25:H25"/>
    <mergeCell ref="AB22:AE22"/>
    <mergeCell ref="AB27:AE27"/>
    <mergeCell ref="D24:H24"/>
    <mergeCell ref="K24:Y24"/>
    <mergeCell ref="B20:I20"/>
    <mergeCell ref="AF28:AJ28"/>
    <mergeCell ref="U5:Y5"/>
    <mergeCell ref="D23:H23"/>
    <mergeCell ref="Z24:AA24"/>
    <mergeCell ref="J19:AJ19"/>
    <mergeCell ref="B26:C26"/>
    <mergeCell ref="AF22:AJ22"/>
    <mergeCell ref="AF27:AJ27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7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코바테크0001</dc:creator>
  <dcterms:created xsi:type="dcterms:W3CDTF">2021-06-13T15:22:43Z</dcterms:created>
  <dcterms:modified xsi:type="dcterms:W3CDTF">2026-03-03T13:27:20Z</dcterms:modified>
  <cp:lastModifiedBy>권성관 코바테크</cp:lastModifiedBy>
  <cp:lastPrinted>2025-02-18T10:06:04Z</cp:lastPrinted>
</cp:coreProperties>
</file>