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Sheet1" sheetId="1" state="visible" r:id="rId1"/>
    <sheet name="Sheet2" sheetId="2" state="visible" r:id="rId2"/>
  </sheets>
  <definedNames>
    <definedName name="_xlnm.Print_Area" localSheetId="0">'Sheet1'!$A$1:$BB$78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dd\ mmm\,\ yyyy"/>
    <numFmt numFmtId="165" formatCode="_-* #,##0.00_-;\-* #,##0.00_-;_-* &quot;-&quot;_-;_-@_-"/>
    <numFmt numFmtId="166" formatCode="0.0"/>
  </numFmts>
  <fonts count="1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0"/>
      <sz val="11"/>
      <u val="single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3"/>
      <b val="1"/>
      <color theme="1"/>
      <sz val="26"/>
      <scheme val="minor"/>
    </font>
    <font>
      <name val="맑은 고딕"/>
      <charset val="129"/>
      <family val="3"/>
      <b val="1"/>
      <color theme="1"/>
      <sz val="24"/>
      <scheme val="minor"/>
    </font>
    <font>
      <name val="맑은 고딕"/>
      <charset val="129"/>
      <family val="3"/>
      <color theme="10"/>
      <sz val="11"/>
      <u val="single"/>
      <scheme val="minor"/>
    </font>
    <font>
      <name val="맑은 고딕"/>
      <charset val="129"/>
      <family val="3"/>
      <sz val="11"/>
      <scheme val="minor"/>
    </font>
    <font>
      <name val="Arial"/>
      <b val="1"/>
      <color rgb="00FF0000"/>
      <sz val="10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</borders>
  <cellStyleXfs count="3">
    <xf numFmtId="0" fontId="1" fillId="0" borderId="0" applyAlignment="1">
      <alignment vertical="center"/>
    </xf>
    <xf numFmtId="41" fontId="1" fillId="0" borderId="0" applyAlignment="1">
      <alignment vertical="center"/>
    </xf>
    <xf numFmtId="0" fontId="2" fillId="0" borderId="0" applyAlignment="1">
      <alignment vertical="center"/>
    </xf>
  </cellStyleXfs>
  <cellXfs count="213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4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2" borderId="6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11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8" applyAlignment="1" pivotButton="0" quotePrefix="0" xfId="0">
      <alignment horizontal="left" vertical="center" indent="1"/>
    </xf>
    <xf numFmtId="0" fontId="6" fillId="0" borderId="4" applyAlignment="1" pivotButton="0" quotePrefix="0" xfId="0">
      <alignment horizontal="center" vertical="center"/>
    </xf>
    <xf numFmtId="0" fontId="6" fillId="0" borderId="14" applyAlignment="1" pivotButton="0" quotePrefix="0" xfId="0">
      <alignment vertical="center"/>
    </xf>
    <xf numFmtId="0" fontId="6" fillId="0" borderId="15" applyAlignment="1" pivotButton="0" quotePrefix="0" xfId="0">
      <alignment vertical="center"/>
    </xf>
    <xf numFmtId="0" fontId="6" fillId="0" borderId="16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6" fillId="0" borderId="7" applyAlignment="1" pivotButton="0" quotePrefix="0" xfId="0">
      <alignment vertical="center"/>
    </xf>
    <xf numFmtId="0" fontId="6" fillId="0" borderId="21" applyAlignment="1" pivotButton="0" quotePrefix="0" xfId="0">
      <alignment vertical="center"/>
    </xf>
    <xf numFmtId="0" fontId="6" fillId="0" borderId="22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13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0" borderId="14" applyAlignment="1" pivotButton="0" quotePrefix="0" xfId="0">
      <alignment horizontal="left" vertical="center" indent="1"/>
    </xf>
    <xf numFmtId="0" fontId="6" fillId="0" borderId="10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/>
    </xf>
    <xf numFmtId="0" fontId="5" fillId="0" borderId="6" applyAlignment="1" pivotButton="0" quotePrefix="0" xfId="0">
      <alignment horizontal="left" vertical="center"/>
    </xf>
    <xf numFmtId="0" fontId="5" fillId="2" borderId="5" applyAlignment="1" pivotButton="0" quotePrefix="0" xfId="0">
      <alignment horizontal="left" vertical="center"/>
    </xf>
    <xf numFmtId="0" fontId="5" fillId="2" borderId="6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11" applyAlignment="1" pivotButton="0" quotePrefix="0" xfId="0">
      <alignment horizontal="left" vertical="center"/>
    </xf>
    <xf numFmtId="0" fontId="6" fillId="0" borderId="2" applyAlignment="1" pivotButton="0" quotePrefix="1" xfId="0">
      <alignment horizontal="left" vertical="center"/>
    </xf>
    <xf numFmtId="0" fontId="6" fillId="0" borderId="11" applyAlignment="1" pivotButton="0" quotePrefix="1" xfId="0">
      <alignment horizontal="left" vertical="center"/>
    </xf>
    <xf numFmtId="0" fontId="10" fillId="0" borderId="2" applyAlignment="1" pivotButton="0" quotePrefix="0" xfId="2">
      <alignment horizontal="left" vertical="center"/>
    </xf>
    <xf numFmtId="0" fontId="10" fillId="0" borderId="11" applyAlignment="1" pivotButton="0" quotePrefix="0" xfId="2">
      <alignment horizontal="left" vertical="center"/>
    </xf>
    <xf numFmtId="0" fontId="4" fillId="0" borderId="20" applyAlignment="1" pivotButton="0" quotePrefix="0" xfId="0">
      <alignment horizontal="left" vertical="center"/>
    </xf>
    <xf numFmtId="0" fontId="4" fillId="0" borderId="21" applyAlignment="1" pivotButton="0" quotePrefix="0" xfId="0">
      <alignment horizontal="left" vertical="center"/>
    </xf>
    <xf numFmtId="0" fontId="7" fillId="0" borderId="8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0" fontId="4" fillId="0" borderId="6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left" vertical="center"/>
    </xf>
    <xf numFmtId="0" fontId="4" fillId="0" borderId="18" applyAlignment="1" pivotButton="0" quotePrefix="0" xfId="0">
      <alignment horizontal="left" vertical="center"/>
    </xf>
    <xf numFmtId="0" fontId="6" fillId="0" borderId="24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18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164" fontId="6" fillId="0" borderId="6" applyAlignment="1" pivotButton="0" quotePrefix="0" xfId="0">
      <alignment horizontal="left" vertical="center"/>
    </xf>
    <xf numFmtId="164" fontId="6" fillId="0" borderId="7" applyAlignment="1" pivotButton="0" quotePrefix="0" xfId="0">
      <alignment horizontal="left" vertical="center"/>
    </xf>
    <xf numFmtId="0" fontId="4" fillId="0" borderId="22" applyAlignment="1" pivotButton="0" quotePrefix="0" xfId="0">
      <alignment horizontal="left" vertical="center"/>
    </xf>
    <xf numFmtId="0" fontId="6" fillId="0" borderId="12" applyAlignment="1" pivotButton="0" quotePrefix="1" xfId="0">
      <alignment horizontal="left" vertical="center" indent="1"/>
    </xf>
    <xf numFmtId="0" fontId="6" fillId="0" borderId="3" applyAlignment="1" pivotButton="0" quotePrefix="0" xfId="0">
      <alignment horizontal="left" vertical="center" indent="1"/>
    </xf>
    <xf numFmtId="0" fontId="6" fillId="0" borderId="13" applyAlignment="1" pivotButton="0" quotePrefix="0" xfId="0">
      <alignment horizontal="left" vertical="center" indent="1"/>
    </xf>
    <xf numFmtId="0" fontId="11" fillId="0" borderId="2" applyAlignment="1" pivotButton="0" quotePrefix="1" xfId="2">
      <alignment horizontal="left" vertical="center" wrapText="1"/>
    </xf>
    <xf numFmtId="0" fontId="11" fillId="0" borderId="2" applyAlignment="1" pivotButton="0" quotePrefix="0" xfId="2">
      <alignment horizontal="left" vertical="center"/>
    </xf>
    <xf numFmtId="0" fontId="11" fillId="0" borderId="11" applyAlignment="1" pivotButton="0" quotePrefix="0" xfId="2">
      <alignment horizontal="left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6" fillId="0" borderId="23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0" fontId="6" fillId="0" borderId="23" applyAlignment="1" pivotButton="0" quotePrefix="0" xfId="0">
      <alignment horizontal="left" vertical="center"/>
    </xf>
    <xf numFmtId="165" fontId="6" fillId="0" borderId="23" applyAlignment="1" pivotButton="0" quotePrefix="0" xfId="1">
      <alignment horizontal="center" vertical="center"/>
    </xf>
    <xf numFmtId="165" fontId="6" fillId="0" borderId="24" applyAlignment="1" pivotButton="0" quotePrefix="0" xfId="1">
      <alignment horizontal="center" vertical="center"/>
    </xf>
    <xf numFmtId="165" fontId="6" fillId="0" borderId="25" applyAlignment="1" pivotButton="0" quotePrefix="0" xfId="1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165" fontId="6" fillId="0" borderId="17" applyAlignment="1" pivotButton="0" quotePrefix="0" xfId="1">
      <alignment horizontal="center" vertical="center"/>
    </xf>
    <xf numFmtId="165" fontId="6" fillId="0" borderId="18" applyAlignment="1" pivotButton="0" quotePrefix="0" xfId="1">
      <alignment horizontal="center" vertical="center"/>
    </xf>
    <xf numFmtId="165" fontId="6" fillId="0" borderId="19" applyAlignment="1" pivotButton="0" quotePrefix="0" xfId="1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1" fontId="6" fillId="0" borderId="5" applyAlignment="1" pivotButton="0" quotePrefix="1" xfId="0">
      <alignment horizontal="center" vertical="center"/>
    </xf>
    <xf numFmtId="1" fontId="6" fillId="0" borderId="6" applyAlignment="1" pivotButton="0" quotePrefix="1" xfId="0">
      <alignment horizontal="center" vertical="center"/>
    </xf>
    <xf numFmtId="1" fontId="6" fillId="0" borderId="7" applyAlignment="1" pivotButton="0" quotePrefix="1" xfId="0">
      <alignment horizontal="center" vertical="center"/>
    </xf>
    <xf numFmtId="1" fontId="6" fillId="0" borderId="14" applyAlignment="1" pivotButton="0" quotePrefix="1" xfId="0">
      <alignment horizontal="center" vertical="center"/>
    </xf>
    <xf numFmtId="1" fontId="6" fillId="0" borderId="15" applyAlignment="1" pivotButton="0" quotePrefix="1" xfId="0">
      <alignment horizontal="center" vertical="center"/>
    </xf>
    <xf numFmtId="1" fontId="6" fillId="0" borderId="16" applyAlignment="1" pivotButton="0" quotePrefix="1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4" fillId="0" borderId="5" applyAlignment="1" pivotButton="0" quotePrefix="0" xfId="0">
      <alignment horizontal="left" vertical="top"/>
    </xf>
    <xf numFmtId="0" fontId="4" fillId="0" borderId="6" applyAlignment="1" pivotButton="0" quotePrefix="0" xfId="0">
      <alignment horizontal="left" vertical="top"/>
    </xf>
    <xf numFmtId="0" fontId="4" fillId="0" borderId="7" applyAlignment="1" pivotButton="0" quotePrefix="0" xfId="0">
      <alignment horizontal="left" vertical="top"/>
    </xf>
    <xf numFmtId="0" fontId="4" fillId="0" borderId="8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/>
    </xf>
    <xf numFmtId="0" fontId="4" fillId="0" borderId="9" applyAlignment="1" pivotButton="0" quotePrefix="0" xfId="0">
      <alignment horizontal="left" vertical="top"/>
    </xf>
    <xf numFmtId="0" fontId="4" fillId="0" borderId="14" applyAlignment="1" pivotButton="0" quotePrefix="0" xfId="0">
      <alignment horizontal="left" vertical="top"/>
    </xf>
    <xf numFmtId="0" fontId="4" fillId="0" borderId="15" applyAlignment="1" pivotButton="0" quotePrefix="0" xfId="0">
      <alignment horizontal="left" vertical="top"/>
    </xf>
    <xf numFmtId="0" fontId="4" fillId="0" borderId="16" applyAlignment="1" pivotButton="0" quotePrefix="0" xfId="0">
      <alignment horizontal="left" vertical="top"/>
    </xf>
    <xf numFmtId="0" fontId="4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left" vertical="center" wrapText="1"/>
    </xf>
    <xf numFmtId="0" fontId="4" fillId="0" borderId="7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4" fillId="0" borderId="15" applyAlignment="1" pivotButton="0" quotePrefix="0" xfId="0">
      <alignment horizontal="left" vertical="center" wrapText="1"/>
    </xf>
    <xf numFmtId="0" fontId="4" fillId="0" borderId="16" applyAlignment="1" pivotButton="0" quotePrefix="0" xfId="0">
      <alignment horizontal="left" vertical="center" wrapText="1"/>
    </xf>
    <xf numFmtId="165" fontId="6" fillId="0" borderId="5" applyAlignment="1" pivotButton="0" quotePrefix="0" xfId="1">
      <alignment horizontal="center" vertical="center"/>
    </xf>
    <xf numFmtId="165" fontId="6" fillId="0" borderId="6" applyAlignment="1" pivotButton="0" quotePrefix="0" xfId="1">
      <alignment horizontal="center" vertical="center"/>
    </xf>
    <xf numFmtId="165" fontId="6" fillId="0" borderId="7" applyAlignment="1" pivotButton="0" quotePrefix="0" xfId="1">
      <alignment horizontal="center" vertical="center"/>
    </xf>
    <xf numFmtId="165" fontId="6" fillId="0" borderId="8" applyAlignment="1" pivotButton="0" quotePrefix="0" xfId="1">
      <alignment horizontal="center" vertical="center"/>
    </xf>
    <xf numFmtId="165" fontId="6" fillId="0" borderId="0" applyAlignment="1" pivotButton="0" quotePrefix="0" xfId="1">
      <alignment horizontal="center" vertical="center"/>
    </xf>
    <xf numFmtId="165" fontId="6" fillId="0" borderId="9" applyAlignment="1" pivotButton="0" quotePrefix="0" xfId="1">
      <alignment horizontal="center" vertical="center"/>
    </xf>
    <xf numFmtId="165" fontId="6" fillId="0" borderId="14" applyAlignment="1" pivotButton="0" quotePrefix="0" xfId="1">
      <alignment horizontal="center" vertical="center"/>
    </xf>
    <xf numFmtId="165" fontId="6" fillId="0" borderId="15" applyAlignment="1" pivotButton="0" quotePrefix="0" xfId="1">
      <alignment horizontal="center" vertical="center"/>
    </xf>
    <xf numFmtId="165" fontId="6" fillId="0" borderId="16" applyAlignment="1" pivotButton="0" quotePrefix="0" xfId="1">
      <alignment horizontal="center" vertical="center"/>
    </xf>
    <xf numFmtId="0" fontId="4" fillId="0" borderId="6" applyAlignment="1" pivotButton="0" quotePrefix="0" xfId="0">
      <alignment horizontal="left" vertical="center"/>
    </xf>
    <xf numFmtId="0" fontId="4" fillId="0" borderId="7" applyAlignment="1" pivotButton="0" quotePrefix="0" xfId="0">
      <alignment horizontal="left" vertical="center"/>
    </xf>
    <xf numFmtId="0" fontId="4" fillId="0" borderId="9" applyAlignment="1" pivotButton="0" quotePrefix="0" xfId="0">
      <alignment horizontal="left" vertical="center"/>
    </xf>
    <xf numFmtId="0" fontId="4" fillId="0" borderId="15" applyAlignment="1" pivotButton="0" quotePrefix="0" xfId="0">
      <alignment horizontal="left" vertical="center"/>
    </xf>
    <xf numFmtId="0" fontId="4" fillId="0" borderId="16" applyAlignment="1" pivotButton="0" quotePrefix="0" xfId="0">
      <alignment horizontal="left" vertical="center"/>
    </xf>
    <xf numFmtId="165" fontId="6" fillId="0" borderId="10" applyAlignment="1" pivotButton="0" quotePrefix="0" xfId="1">
      <alignment horizontal="center" vertical="center"/>
    </xf>
    <xf numFmtId="165" fontId="6" fillId="0" borderId="2" applyAlignment="1" pivotButton="0" quotePrefix="0" xfId="1">
      <alignment horizontal="center" vertical="center"/>
    </xf>
    <xf numFmtId="165" fontId="6" fillId="0" borderId="11" applyAlignment="1" pivotButton="0" quotePrefix="0" xfId="1">
      <alignment horizontal="center" vertical="center"/>
    </xf>
    <xf numFmtId="166" fontId="6" fillId="0" borderId="10" applyAlignment="1" pivotButton="0" quotePrefix="0" xfId="0">
      <alignment horizontal="center" vertical="center"/>
    </xf>
    <xf numFmtId="166" fontId="6" fillId="0" borderId="2" applyAlignment="1" pivotButton="0" quotePrefix="0" xfId="0">
      <alignment horizontal="center" vertical="center"/>
    </xf>
    <xf numFmtId="166" fontId="6" fillId="0" borderId="11" applyAlignment="1" pivotButton="0" quotePrefix="0" xfId="0">
      <alignment horizontal="center" vertical="center"/>
    </xf>
    <xf numFmtId="0" fontId="6" fillId="0" borderId="10" applyAlignment="1" pivotButton="0" quotePrefix="0" xfId="0">
      <alignment horizontal="left" vertical="center"/>
    </xf>
    <xf numFmtId="164" fontId="6" fillId="0" borderId="0" applyAlignment="1" pivotButton="0" quotePrefix="0" xfId="0">
      <alignment horizontal="center" vertical="center"/>
    </xf>
    <xf numFmtId="164" fontId="6" fillId="0" borderId="9" applyAlignment="1" pivotButton="0" quotePrefix="0" xfId="0">
      <alignment horizontal="center" vertical="center"/>
    </xf>
    <xf numFmtId="165" fontId="6" fillId="0" borderId="5" applyAlignment="1" pivotButton="0" quotePrefix="0" xfId="1">
      <alignment horizontal="right" vertical="center"/>
    </xf>
    <xf numFmtId="165" fontId="6" fillId="0" borderId="6" applyAlignment="1" pivotButton="0" quotePrefix="0" xfId="1">
      <alignment horizontal="right" vertical="center"/>
    </xf>
    <xf numFmtId="165" fontId="6" fillId="0" borderId="7" applyAlignment="1" pivotButton="0" quotePrefix="0" xfId="1">
      <alignment horizontal="right" vertical="center"/>
    </xf>
    <xf numFmtId="165" fontId="6" fillId="0" borderId="14" applyAlignment="1" pivotButton="0" quotePrefix="0" xfId="1">
      <alignment horizontal="right" vertical="center"/>
    </xf>
    <xf numFmtId="165" fontId="6" fillId="0" borderId="15" applyAlignment="1" pivotButton="0" quotePrefix="0" xfId="1">
      <alignment horizontal="right" vertical="center"/>
    </xf>
    <xf numFmtId="165" fontId="6" fillId="0" borderId="16" applyAlignment="1" pivotButton="0" quotePrefix="0" xfId="1">
      <alignment horizontal="right" vertical="center"/>
    </xf>
    <xf numFmtId="0" fontId="4" fillId="0" borderId="5" applyAlignment="1" pivotButton="0" quotePrefix="0" xfId="0">
      <alignment horizontal="left" vertical="center"/>
    </xf>
    <xf numFmtId="0" fontId="4" fillId="0" borderId="14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0" borderId="17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1" pivotButton="0" quotePrefix="0" xfId="0"/>
    <xf numFmtId="0" fontId="0" fillId="0" borderId="6" pivotButton="0" quotePrefix="0" xfId="0"/>
    <xf numFmtId="164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2" pivotButton="0" quotePrefix="0" xfId="0"/>
    <xf numFmtId="0" fontId="4" fillId="0" borderId="33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0" fontId="0" fillId="0" borderId="11" pivotButton="0" quotePrefix="0" xfId="0"/>
    <xf numFmtId="0" fontId="6" fillId="0" borderId="34" applyAlignment="1" pivotButton="0" quotePrefix="1" xfId="0">
      <alignment horizontal="left" vertical="center" indent="1"/>
    </xf>
    <xf numFmtId="0" fontId="0" fillId="0" borderId="3" pivotButton="0" quotePrefix="0" xfId="0"/>
    <xf numFmtId="0" fontId="0" fillId="0" borderId="13" pivotButton="0" quotePrefix="0" xfId="0"/>
    <xf numFmtId="0" fontId="11" fillId="0" borderId="11" applyAlignment="1" pivotButton="0" quotePrefix="1" xfId="2">
      <alignment horizontal="left" vertical="center" wrapText="1"/>
    </xf>
    <xf numFmtId="0" fontId="12" fillId="0" borderId="8" applyAlignment="1" pivotButton="0" quotePrefix="0" xfId="0">
      <alignment horizontal="left" vertical="center" indent="1"/>
    </xf>
    <xf numFmtId="0" fontId="0" fillId="0" borderId="9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4" pivotButton="0" quotePrefix="0" xfId="0"/>
    <xf numFmtId="0" fontId="0" fillId="0" borderId="25" pivotButton="0" quotePrefix="0" xfId="0"/>
    <xf numFmtId="0" fontId="4" fillId="0" borderId="4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4" fillId="0" borderId="28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6" fillId="0" borderId="26" applyAlignment="1" pivotButton="0" quotePrefix="0" xfId="0">
      <alignment horizontal="center" vertical="center"/>
    </xf>
    <xf numFmtId="0" fontId="6" fillId="0" borderId="30" applyAlignment="1" pivotButton="0" quotePrefix="0" xfId="0">
      <alignment horizontal="center" vertical="center"/>
    </xf>
    <xf numFmtId="2" fontId="6" fillId="0" borderId="30" applyAlignment="1" pivotButton="0" quotePrefix="0" xfId="0">
      <alignment horizontal="center" vertical="center"/>
    </xf>
    <xf numFmtId="0" fontId="6" fillId="0" borderId="30" applyAlignment="1" pivotButton="0" quotePrefix="0" xfId="0">
      <alignment horizontal="left" vertical="center"/>
    </xf>
    <xf numFmtId="0" fontId="6" fillId="0" borderId="31" applyAlignment="1" pivotButton="0" quotePrefix="0" xfId="0">
      <alignment horizontal="center" vertical="center"/>
    </xf>
    <xf numFmtId="4" fontId="6" fillId="0" borderId="30" applyAlignment="1" pivotButton="0" quotePrefix="0" xfId="1">
      <alignment horizontal="center" vertical="center"/>
    </xf>
    <xf numFmtId="165" fontId="6" fillId="0" borderId="30" applyAlignment="1" pivotButton="0" quotePrefix="0" xfId="1">
      <alignment horizontal="center" vertical="center"/>
    </xf>
    <xf numFmtId="2" fontId="6" fillId="0" borderId="26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4" fontId="6" fillId="0" borderId="26" applyAlignment="1" pivotButton="0" quotePrefix="0" xfId="1">
      <alignment horizontal="center" vertical="center"/>
    </xf>
    <xf numFmtId="165" fontId="6" fillId="0" borderId="26" applyAlignment="1" pivotButton="0" quotePrefix="0" xfId="1">
      <alignment horizontal="center" vertical="center"/>
    </xf>
    <xf numFmtId="166" fontId="6" fillId="0" borderId="26" applyAlignment="1" pivotButton="0" quotePrefix="0" xfId="0">
      <alignment horizontal="center" vertical="center"/>
    </xf>
    <xf numFmtId="0" fontId="6" fillId="0" borderId="27" applyAlignment="1" pivotButton="0" quotePrefix="0" xfId="0">
      <alignment horizontal="center" vertical="center"/>
    </xf>
    <xf numFmtId="0" fontId="6" fillId="0" borderId="27" applyAlignment="1" pivotButton="0" quotePrefix="0" xfId="0">
      <alignment horizontal="left" vertical="center"/>
    </xf>
    <xf numFmtId="165" fontId="6" fillId="0" borderId="27" applyAlignment="1" pivotButton="0" quotePrefix="0" xfId="1">
      <alignment horizontal="center" vertical="center"/>
    </xf>
    <xf numFmtId="0" fontId="4" fillId="0" borderId="29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top"/>
    </xf>
    <xf numFmtId="0" fontId="4" fillId="0" borderId="28" applyAlignment="1" pivotButton="0" quotePrefix="0" xfId="0">
      <alignment horizontal="left" vertical="center" wrapText="1"/>
    </xf>
    <xf numFmtId="165" fontId="6" fillId="0" borderId="4" applyAlignment="1" pivotButton="0" quotePrefix="0" xfId="1">
      <alignment horizontal="center" vertical="center"/>
    </xf>
    <xf numFmtId="0" fontId="6" fillId="0" borderId="29" applyAlignment="1" pivotButton="0" quotePrefix="0" xfId="0">
      <alignment horizontal="center" vertical="center"/>
    </xf>
    <xf numFmtId="1" fontId="6" fillId="0" borderId="4" applyAlignment="1" pivotButton="0" quotePrefix="1" xfId="0">
      <alignment horizontal="center" vertical="center"/>
    </xf>
    <xf numFmtId="2" fontId="6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0" fontId="4" fillId="0" borderId="29" applyAlignment="1" pivotButton="0" quotePrefix="0" xfId="0">
      <alignment horizontal="left" vertical="center"/>
    </xf>
    <xf numFmtId="165" fontId="6" fillId="0" borderId="4" applyAlignment="1" pivotButton="0" quotePrefix="0" xfId="1">
      <alignment horizontal="right" vertical="center"/>
    </xf>
    <xf numFmtId="164" fontId="6" fillId="0" borderId="9" applyAlignment="1" pivotButton="0" quotePrefix="0" xfId="0">
      <alignment horizontal="center" vertical="center"/>
    </xf>
  </cellXfs>
  <cellStyles count="3">
    <cellStyle name="표준" xfId="0" builtinId="0"/>
    <cellStyle name="쉼표 [0]" xfId="1" builtinId="6"/>
    <cellStyle name="하이퍼링크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219520</colOff>
      <row>1</row>
      <rowOff>446892</rowOff>
    </from>
    <to>
      <col>7</col>
      <colOff>34536</colOff>
      <row>3</row>
      <rowOff>27457</rowOff>
    </to>
    <pic>
      <nvPicPr>
        <cNvPr id="7" name="그림 6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219520" y="651731"/>
          <a:ext cx="1439674" cy="42493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11</col>
      <colOff>48967</colOff>
      <row>72</row>
      <rowOff>51551</rowOff>
    </from>
    <to>
      <col>16</col>
      <colOff>75302</colOff>
      <row>74</row>
      <rowOff>186497</rowOff>
    </to>
    <pic>
      <nvPicPr>
        <cNvPr id="9" name="그림 8"/>
        <cNvPicPr>
          <a:picLocks noChangeAspect="1"/>
        </cNvPicPr>
      </nvPicPr>
      <blipFill>
        <a:blip cstate="print" r:embed="rId2"/>
        <a:srcRect/>
        <a:stretch>
          <a:fillRect/>
        </a:stretch>
      </blipFill>
      <spPr>
        <a:xfrm>
          <a:off x="2652467" y="15482051"/>
          <a:ext cx="1190502" cy="55827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kobatech@kobatech.co.kr" TargetMode="External" Id="rId1" /><Relationship Type="http://schemas.openxmlformats.org/officeDocument/2006/relationships/hyperlink" Target="mailto:hitomi_monzonpersivale@ulvac.com" TargetMode="External" Id="rId2" /><Relationship Type="http://schemas.openxmlformats.org/officeDocument/2006/relationships/drawing" Target="/xl/drawings/drawing1.xml" Id="rId3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A76"/>
  <sheetViews>
    <sheetView showGridLines="0" tabSelected="1" view="pageBreakPreview" topLeftCell="A57" zoomScale="90" zoomScaleNormal="90" zoomScaleSheetLayoutView="90" workbookViewId="0">
      <selection activeCell="Q58" sqref="Q58:X59"/>
    </sheetView>
  </sheetViews>
  <sheetFormatPr baseColWidth="8" defaultColWidth="3" defaultRowHeight="17.4"/>
  <cols>
    <col width="3" customWidth="1" style="8" min="1" max="4"/>
    <col width="3.59765625" customWidth="1" style="8" min="5" max="5"/>
    <col width="3" customWidth="1" style="8" min="6" max="41"/>
    <col width="3.59765625" customWidth="1" style="8" min="42" max="42"/>
    <col width="3" customWidth="1" style="8" min="43" max="16384"/>
  </cols>
  <sheetData>
    <row r="2" ht="46.5" customHeight="1" s="160">
      <c r="B2" s="63" t="inlineStr">
        <is>
          <t>COMMERCIAL INVOICE</t>
        </is>
      </c>
    </row>
    <row r="3" ht="20.25" customHeight="1" s="160"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R3" s="155" t="inlineStr">
        <is>
          <t>Page</t>
        </is>
      </c>
      <c r="AU3" s="62" t="n">
        <v>1</v>
      </c>
      <c r="AV3" s="161" t="n"/>
      <c r="AW3" s="155" t="inlineStr">
        <is>
          <t>of</t>
        </is>
      </c>
      <c r="AX3" s="62" t="n">
        <v>1</v>
      </c>
      <c r="AY3" s="161" t="n"/>
      <c r="AZ3" s="68" t="n"/>
      <c r="BA3" s="68" t="n"/>
    </row>
    <row r="4" ht="9" customHeight="1" s="160" thickBot="1"/>
    <row r="5" ht="17.25" customHeight="1" s="160">
      <c r="B5" s="35" t="inlineStr">
        <is>
          <t>EXPORTER (수출업자)</t>
        </is>
      </c>
      <c r="C5" s="162" t="n"/>
      <c r="D5" s="162" t="n"/>
      <c r="E5" s="162" t="n"/>
      <c r="F5" s="162" t="n"/>
      <c r="G5" s="162" t="n"/>
      <c r="H5" s="162" t="n"/>
      <c r="I5" s="162" t="n"/>
      <c r="J5" s="162" t="n"/>
      <c r="K5" s="162" t="n"/>
      <c r="L5" s="162" t="n"/>
      <c r="M5" s="162" t="n"/>
      <c r="N5" s="162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2" t="n"/>
      <c r="AB5" s="33" t="inlineStr">
        <is>
          <t>Ship Date (발송 날짜)</t>
        </is>
      </c>
      <c r="AC5" s="162" t="n"/>
      <c r="AD5" s="162" t="n"/>
      <c r="AE5" s="162" t="n"/>
      <c r="AF5" s="162" t="n"/>
      <c r="AG5" s="162" t="n"/>
      <c r="AH5" s="162" t="n"/>
      <c r="AI5" s="162" t="n"/>
      <c r="AJ5" s="162" t="n"/>
      <c r="AK5" s="162" t="n"/>
      <c r="AL5" s="162" t="n"/>
      <c r="AM5" s="162" t="n"/>
      <c r="AN5" s="162" t="n"/>
      <c r="AO5" s="163" t="inlineStr">
        <is>
          <t>22 Mar, 2026</t>
        </is>
      </c>
      <c r="AP5" s="162" t="n"/>
      <c r="AQ5" s="162" t="n"/>
      <c r="AR5" s="162" t="n"/>
      <c r="AS5" s="162" t="n"/>
      <c r="AT5" s="162" t="n"/>
      <c r="AU5" s="162" t="n"/>
      <c r="AV5" s="162" t="n"/>
      <c r="AW5" s="162" t="n"/>
      <c r="AX5" s="162" t="n"/>
      <c r="AY5" s="162" t="n"/>
      <c r="AZ5" s="162" t="n"/>
      <c r="BA5" s="164" t="n"/>
    </row>
    <row r="6">
      <c r="B6" s="37" t="inlineStr">
        <is>
          <t>Tax ID# (세금 ID 번호)</t>
        </is>
      </c>
      <c r="C6" s="165" t="n"/>
      <c r="D6" s="165" t="n"/>
      <c r="E6" s="165" t="n"/>
      <c r="F6" s="165" t="n"/>
      <c r="G6" s="165" t="n"/>
      <c r="H6" s="165" t="n"/>
      <c r="I6" s="165" t="n"/>
      <c r="J6" s="165" t="n"/>
      <c r="K6" s="165" t="n"/>
      <c r="L6" s="165" t="n"/>
      <c r="M6" s="165" t="n"/>
      <c r="N6" s="165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4" t="n"/>
      <c r="AB6" s="166" t="inlineStr">
        <is>
          <t>Air Waybill No. / Tracking No. (항공 운송장 번호/추적 번호)</t>
        </is>
      </c>
      <c r="AC6" s="167" t="n"/>
      <c r="AD6" s="167" t="n"/>
      <c r="AE6" s="167" t="n"/>
      <c r="AF6" s="167" t="n"/>
      <c r="AG6" s="167" t="n"/>
      <c r="AH6" s="167" t="n"/>
      <c r="AI6" s="167" t="n"/>
      <c r="AJ6" s="167" t="n"/>
      <c r="AK6" s="167" t="n"/>
      <c r="AL6" s="167" t="n"/>
      <c r="AM6" s="167" t="n"/>
      <c r="AN6" s="167" t="n"/>
      <c r="AO6" s="167" t="n"/>
      <c r="AP6" s="167" t="n"/>
      <c r="AQ6" s="167" t="n"/>
      <c r="AR6" s="167" t="n"/>
      <c r="AS6" s="167" t="n"/>
      <c r="AT6" s="167" t="n"/>
      <c r="AU6" s="167" t="n"/>
      <c r="AV6" s="167" t="n"/>
      <c r="AW6" s="167" t="n"/>
      <c r="AX6" s="167" t="n"/>
      <c r="AY6" s="167" t="n"/>
      <c r="AZ6" s="167" t="n"/>
      <c r="BA6" s="168" t="n"/>
    </row>
    <row r="7">
      <c r="B7" s="37" t="inlineStr">
        <is>
          <t>Contact Name (담당자 이름)</t>
        </is>
      </c>
      <c r="C7" s="165" t="n"/>
      <c r="D7" s="165" t="n"/>
      <c r="E7" s="165" t="n"/>
      <c r="F7" s="165" t="n"/>
      <c r="G7" s="165" t="n"/>
      <c r="H7" s="165" t="n"/>
      <c r="I7" s="165" t="n"/>
      <c r="J7" s="165" t="n"/>
      <c r="K7" s="165" t="n"/>
      <c r="L7" s="165" t="n"/>
      <c r="M7" s="165" t="n"/>
      <c r="N7" s="165" t="n"/>
      <c r="O7" s="42" t="inlineStr">
        <is>
          <t>Sung Gwan Kwon</t>
        </is>
      </c>
      <c r="P7" s="165" t="n"/>
      <c r="Q7" s="165" t="n"/>
      <c r="R7" s="165" t="n"/>
      <c r="S7" s="165" t="n"/>
      <c r="T7" s="165" t="n"/>
      <c r="U7" s="165" t="n"/>
      <c r="V7" s="165" t="n"/>
      <c r="W7" s="165" t="n"/>
      <c r="X7" s="165" t="n"/>
      <c r="Y7" s="165" t="n"/>
      <c r="Z7" s="165" t="n"/>
      <c r="AA7" s="169" t="n"/>
      <c r="AB7" s="170" t="n"/>
      <c r="AC7" s="171" t="n"/>
      <c r="AD7" s="171" t="n"/>
      <c r="AE7" s="171" t="n"/>
      <c r="AF7" s="171" t="n"/>
      <c r="AG7" s="171" t="n"/>
      <c r="AH7" s="171" t="n"/>
      <c r="AI7" s="171" t="n"/>
      <c r="AJ7" s="171" t="n"/>
      <c r="AK7" s="171" t="n"/>
      <c r="AL7" s="171" t="n"/>
      <c r="AM7" s="171" t="n"/>
      <c r="AN7" s="171" t="n"/>
      <c r="AO7" s="171" t="n"/>
      <c r="AP7" s="171" t="n"/>
      <c r="AQ7" s="171" t="n"/>
      <c r="AR7" s="171" t="n"/>
      <c r="AS7" s="171" t="n"/>
      <c r="AT7" s="171" t="n"/>
      <c r="AU7" s="171" t="n"/>
      <c r="AV7" s="171" t="n"/>
      <c r="AW7" s="171" t="n"/>
      <c r="AX7" s="171" t="n"/>
      <c r="AY7" s="171" t="n"/>
      <c r="AZ7" s="171" t="n"/>
      <c r="BA7" s="172" t="n"/>
    </row>
    <row r="8">
      <c r="B8" s="37" t="inlineStr">
        <is>
          <t>Telephone No. (전화번호)</t>
        </is>
      </c>
      <c r="C8" s="165" t="n"/>
      <c r="D8" s="165" t="n"/>
      <c r="E8" s="165" t="n"/>
      <c r="F8" s="165" t="n"/>
      <c r="G8" s="165" t="n"/>
      <c r="H8" s="165" t="n"/>
      <c r="I8" s="165" t="n"/>
      <c r="J8" s="165" t="n"/>
      <c r="K8" s="165" t="n"/>
      <c r="L8" s="165" t="n"/>
      <c r="M8" s="165" t="n"/>
      <c r="N8" s="165" t="n"/>
      <c r="O8" s="44" t="inlineStr">
        <is>
          <t>01032678636</t>
        </is>
      </c>
      <c r="P8" s="165" t="n"/>
      <c r="Q8" s="165" t="n"/>
      <c r="R8" s="165" t="n"/>
      <c r="S8" s="165" t="n"/>
      <c r="T8" s="165" t="n"/>
      <c r="U8" s="165" t="n"/>
      <c r="V8" s="165" t="n"/>
      <c r="W8" s="165" t="n"/>
      <c r="X8" s="165" t="n"/>
      <c r="Y8" s="165" t="n"/>
      <c r="Z8" s="165" t="n"/>
      <c r="AA8" s="169" t="n"/>
      <c r="AB8" s="37" t="inlineStr">
        <is>
          <t>Invoice No. (송장 번호)</t>
        </is>
      </c>
      <c r="AC8" s="165" t="n"/>
      <c r="AD8" s="165" t="n"/>
      <c r="AE8" s="165" t="n"/>
      <c r="AF8" s="165" t="n"/>
      <c r="AG8" s="165" t="n"/>
      <c r="AH8" s="165" t="n"/>
      <c r="AI8" s="165" t="n"/>
      <c r="AJ8" s="165" t="n"/>
      <c r="AK8" s="165" t="n"/>
      <c r="AL8" s="165" t="n"/>
      <c r="AM8" s="165" t="n"/>
      <c r="AN8" s="165" t="n"/>
      <c r="AO8" s="44" t="inlineStr">
        <is>
          <t>KI20260322-008</t>
        </is>
      </c>
      <c r="AP8" s="165" t="n"/>
      <c r="AQ8" s="165" t="n"/>
      <c r="AR8" s="165" t="n"/>
      <c r="AS8" s="165" t="n"/>
      <c r="AT8" s="165" t="n"/>
      <c r="AU8" s="165" t="n"/>
      <c r="AV8" s="165" t="n"/>
      <c r="AW8" s="165" t="n"/>
      <c r="AX8" s="165" t="n"/>
      <c r="AY8" s="165" t="n"/>
      <c r="AZ8" s="165" t="n"/>
      <c r="BA8" s="169" t="n"/>
    </row>
    <row r="9">
      <c r="B9" s="37" t="inlineStr">
        <is>
          <t>E-Mail (이메일)</t>
        </is>
      </c>
      <c r="C9" s="165" t="n"/>
      <c r="D9" s="165" t="n"/>
      <c r="E9" s="165" t="n"/>
      <c r="F9" s="165" t="n"/>
      <c r="G9" s="165" t="n"/>
      <c r="H9" s="165" t="n"/>
      <c r="I9" s="165" t="n"/>
      <c r="J9" s="165" t="n"/>
      <c r="K9" s="165" t="n"/>
      <c r="L9" s="165" t="n"/>
      <c r="M9" s="165" t="n"/>
      <c r="N9" s="165" t="n"/>
      <c r="O9" s="46" t="inlineStr">
        <is>
          <t>kobatech@kobatech.co.kr</t>
        </is>
      </c>
      <c r="P9" s="165" t="n"/>
      <c r="Q9" s="165" t="n"/>
      <c r="R9" s="165" t="n"/>
      <c r="S9" s="165" t="n"/>
      <c r="T9" s="165" t="n"/>
      <c r="U9" s="165" t="n"/>
      <c r="V9" s="165" t="n"/>
      <c r="W9" s="165" t="n"/>
      <c r="X9" s="165" t="n"/>
      <c r="Y9" s="165" t="n"/>
      <c r="Z9" s="165" t="n"/>
      <c r="AA9" s="169" t="n"/>
      <c r="AB9" s="37" t="inlineStr">
        <is>
          <t>Purchase Order (발주 번호)</t>
        </is>
      </c>
      <c r="AC9" s="165" t="n"/>
      <c r="AD9" s="165" t="n"/>
      <c r="AE9" s="165" t="n"/>
      <c r="AF9" s="165" t="n"/>
      <c r="AG9" s="165" t="n"/>
      <c r="AH9" s="165" t="n"/>
      <c r="AI9" s="165" t="n"/>
      <c r="AJ9" s="165" t="n"/>
      <c r="AK9" s="165" t="n"/>
      <c r="AL9" s="165" t="n"/>
      <c r="AM9" s="165" t="n"/>
      <c r="AN9" s="165" t="n"/>
      <c r="AO9" s="173" t="inlineStr"/>
      <c r="AP9" s="165" t="n"/>
      <c r="AQ9" s="165" t="n"/>
      <c r="AR9" s="165" t="n"/>
      <c r="AS9" s="165" t="n"/>
      <c r="AT9" s="165" t="n"/>
      <c r="AU9" s="165" t="n"/>
      <c r="AV9" s="165" t="n"/>
      <c r="AW9" s="165" t="n"/>
      <c r="AX9" s="165" t="n"/>
      <c r="AY9" s="165" t="n"/>
      <c r="AZ9" s="165" t="n"/>
      <c r="BA9" s="169" t="n"/>
    </row>
    <row r="10">
      <c r="B10" s="47" t="inlineStr">
        <is>
          <t>Company Name/Address (회사명/주소)</t>
        </is>
      </c>
      <c r="C10" s="167" t="n"/>
      <c r="D10" s="167" t="n"/>
      <c r="E10" s="167" t="n"/>
      <c r="F10" s="167" t="n"/>
      <c r="G10" s="167" t="n"/>
      <c r="H10" s="167" t="n"/>
      <c r="I10" s="167" t="n"/>
      <c r="J10" s="167" t="n"/>
      <c r="K10" s="167" t="n"/>
      <c r="L10" s="167" t="n"/>
      <c r="M10" s="167" t="n"/>
      <c r="N10" s="167" t="n"/>
      <c r="AA10" s="15" t="n"/>
      <c r="AB10" s="37" t="inlineStr">
        <is>
          <t>Payment Terms (지불 조건)</t>
        </is>
      </c>
      <c r="AC10" s="165" t="n"/>
      <c r="AD10" s="165" t="n"/>
      <c r="AE10" s="165" t="n"/>
      <c r="AF10" s="165" t="n"/>
      <c r="AG10" s="165" t="n"/>
      <c r="AH10" s="165" t="n"/>
      <c r="AI10" s="165" t="n"/>
      <c r="AJ10" s="165" t="n"/>
      <c r="AK10" s="165" t="n"/>
      <c r="AL10" s="165" t="n"/>
      <c r="AM10" s="165" t="n"/>
      <c r="AN10" s="165" t="n"/>
      <c r="AO10" s="46" t="n"/>
      <c r="AP10" s="165" t="n"/>
      <c r="AQ10" s="165" t="n"/>
      <c r="AR10" s="165" t="n"/>
      <c r="AS10" s="165" t="n"/>
      <c r="AT10" s="165" t="n"/>
      <c r="AU10" s="165" t="n"/>
      <c r="AV10" s="165" t="n"/>
      <c r="AW10" s="165" t="n"/>
      <c r="AX10" s="165" t="n"/>
      <c r="AY10" s="165" t="n"/>
      <c r="AZ10" s="165" t="n"/>
      <c r="BA10" s="169" t="n"/>
    </row>
    <row r="11">
      <c r="B11" s="16" t="inlineStr">
        <is>
          <t>KOBATECH Co., Ltd</t>
        </is>
      </c>
      <c r="AA11" s="15" t="n"/>
      <c r="AB11" s="37" t="inlineStr">
        <is>
          <t>Bill of Lading (선하 증권)</t>
        </is>
      </c>
      <c r="AC11" s="165" t="n"/>
      <c r="AD11" s="165" t="n"/>
      <c r="AE11" s="165" t="n"/>
      <c r="AF11" s="165" t="n"/>
      <c r="AG11" s="165" t="n"/>
      <c r="AH11" s="165" t="n"/>
      <c r="AI11" s="165" t="n"/>
      <c r="AJ11" s="165" t="n"/>
      <c r="AK11" s="165" t="n"/>
      <c r="AL11" s="165" t="n"/>
      <c r="AM11" s="165" t="n"/>
      <c r="AN11" s="165" t="n"/>
      <c r="AO11" s="46" t="n"/>
      <c r="AP11" s="165" t="n"/>
      <c r="AQ11" s="165" t="n"/>
      <c r="AR11" s="165" t="n"/>
      <c r="AS11" s="165" t="n"/>
      <c r="AT11" s="165" t="n"/>
      <c r="AU11" s="165" t="n"/>
      <c r="AV11" s="165" t="n"/>
      <c r="AW11" s="165" t="n"/>
      <c r="AX11" s="165" t="n"/>
      <c r="AY11" s="165" t="n"/>
      <c r="AZ11" s="165" t="n"/>
      <c r="BA11" s="169" t="n"/>
    </row>
    <row r="12">
      <c r="B12" s="16" t="inlineStr">
        <is>
          <t>324-40 Sinwolsou-Gil, Seonggeo-Eup, Seobuk-Gu, Cheonan</t>
        </is>
      </c>
      <c r="AA12" s="15" t="n"/>
      <c r="AB12" s="2" t="inlineStr">
        <is>
          <t>Purpose of Shipment (발송 목적)</t>
        </is>
      </c>
      <c r="BA12" s="15" t="n"/>
    </row>
    <row r="13">
      <c r="B13" s="16" t="inlineStr">
        <is>
          <t>Chungcheongnam-do, Republic of Korea</t>
        </is>
      </c>
      <c r="AA13" s="15" t="n"/>
      <c r="AB13" s="17" t="inlineStr">
        <is>
          <t>수리후 재수출</t>
        </is>
      </c>
      <c r="BA13" s="15" t="n"/>
    </row>
    <row r="14">
      <c r="B14" s="37" t="inlineStr">
        <is>
          <t>Country (국가)</t>
        </is>
      </c>
      <c r="C14" s="165" t="n"/>
      <c r="D14" s="165" t="n"/>
      <c r="E14" s="165" t="n"/>
      <c r="F14" s="165" t="n"/>
      <c r="G14" s="165" t="n"/>
      <c r="H14" s="165" t="n"/>
      <c r="I14" s="165" t="n"/>
      <c r="J14" s="165" t="n"/>
      <c r="K14" s="165" t="n"/>
      <c r="L14" s="165" t="n"/>
      <c r="M14" s="165" t="n"/>
      <c r="N14" s="165" t="n"/>
      <c r="O14" s="42" t="inlineStr">
        <is>
          <t>KOREA, REPUBLIC OF (SOUTH)</t>
        </is>
      </c>
      <c r="P14" s="165" t="n"/>
      <c r="Q14" s="165" t="n"/>
      <c r="R14" s="165" t="n"/>
      <c r="S14" s="165" t="n"/>
      <c r="T14" s="165" t="n"/>
      <c r="U14" s="165" t="n"/>
      <c r="V14" s="165" t="n"/>
      <c r="W14" s="165" t="n"/>
      <c r="X14" s="165" t="n"/>
      <c r="Y14" s="165" t="n"/>
      <c r="Z14" s="165" t="n"/>
      <c r="AA14" s="169" t="n"/>
      <c r="AB14" s="174" t="inlineStr">
        <is>
          <t>NO COMMERCIAL VALUE</t>
        </is>
      </c>
      <c r="AO14" s="61" t="n"/>
      <c r="BA14" s="175" t="n"/>
    </row>
    <row r="15">
      <c r="B15" s="39" t="inlineStr">
        <is>
          <t>Parties to Transaction (트랜잭션 당사자)</t>
        </is>
      </c>
      <c r="AA15" s="15" t="n"/>
      <c r="AB15" s="39" t="n"/>
      <c r="BA15" s="15" t="n"/>
    </row>
    <row r="16" ht="4.5" customHeight="1" s="160" thickBot="1">
      <c r="B16" s="16" t="n"/>
      <c r="AA16" s="15" t="n"/>
      <c r="AB16" s="16" t="n"/>
      <c r="BA16" s="15" t="n"/>
    </row>
    <row r="17" ht="18" customHeight="1" s="160" thickBot="1">
      <c r="B17" s="16" t="n"/>
      <c r="C17" s="18" t="n"/>
      <c r="D17" s="8" t="inlineStr">
        <is>
          <t xml:space="preserve"> Related (관련 있음)</t>
        </is>
      </c>
      <c r="P17" s="18" t="inlineStr">
        <is>
          <t>X</t>
        </is>
      </c>
      <c r="Q17" s="8" t="inlineStr">
        <is>
          <t xml:space="preserve"> Non-Related (비관련)</t>
        </is>
      </c>
      <c r="AA17" s="15" t="n"/>
      <c r="AB17" s="16" t="n"/>
      <c r="BA17" s="15" t="n"/>
    </row>
    <row r="18" ht="4.5" customHeight="1" s="160" thickBot="1"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1" t="n"/>
      <c r="AB18" s="19" t="n"/>
      <c r="AC18" s="20" t="n"/>
      <c r="AD18" s="20" t="n"/>
      <c r="AE18" s="20" t="n"/>
      <c r="AF18" s="20" t="n"/>
      <c r="AG18" s="20" t="n"/>
      <c r="AH18" s="20" t="n"/>
      <c r="AI18" s="20" t="n"/>
      <c r="AJ18" s="20" t="n"/>
      <c r="AK18" s="20" t="n"/>
      <c r="AL18" s="20" t="n"/>
      <c r="AM18" s="20" t="n"/>
      <c r="AN18" s="20" t="n"/>
      <c r="AO18" s="20" t="n"/>
      <c r="AP18" s="20" t="n"/>
      <c r="AQ18" s="20" t="n"/>
      <c r="AR18" s="20" t="n"/>
      <c r="AS18" s="20" t="n"/>
      <c r="AT18" s="20" t="n"/>
      <c r="AU18" s="20" t="n"/>
      <c r="AV18" s="20" t="n"/>
      <c r="AW18" s="20" t="n"/>
      <c r="AX18" s="20" t="n"/>
      <c r="AY18" s="20" t="n"/>
      <c r="AZ18" s="20" t="n"/>
      <c r="BA18" s="21" t="n"/>
    </row>
    <row r="19" ht="17.25" customHeight="1" s="160" thickBot="1">
      <c r="B19" s="35" t="inlineStr">
        <is>
          <t>CONSIGNEE (수취인)</t>
        </is>
      </c>
      <c r="C19" s="162" t="n"/>
      <c r="D19" s="162" t="n"/>
      <c r="E19" s="162" t="n"/>
      <c r="F19" s="162" t="n"/>
      <c r="G19" s="162" t="n"/>
      <c r="H19" s="162" t="n"/>
      <c r="I19" s="162" t="n"/>
      <c r="J19" s="162" t="n"/>
      <c r="K19" s="162" t="n"/>
      <c r="L19" s="162" t="n"/>
      <c r="M19" s="162" t="n"/>
      <c r="N19" s="162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2" t="n"/>
      <c r="AB19" s="3" t="inlineStr">
        <is>
          <t>SOLD TO (if defferent from Consignee)</t>
        </is>
      </c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22" t="n"/>
      <c r="AP19" s="22" t="n"/>
      <c r="AQ19" s="22" t="n"/>
      <c r="AR19" s="22" t="n"/>
      <c r="AS19" s="22" t="n"/>
      <c r="AT19" s="22" t="n"/>
      <c r="AU19" s="22" t="n"/>
      <c r="AV19" s="22" t="n"/>
      <c r="AW19" s="22" t="n"/>
      <c r="AX19" s="22" t="n"/>
      <c r="AY19" s="22" t="n"/>
      <c r="AZ19" s="22" t="n"/>
      <c r="BA19" s="23" t="n"/>
    </row>
    <row r="20" ht="18" customHeight="1" s="160" thickBot="1">
      <c r="B20" s="37" t="inlineStr">
        <is>
          <t>Tax ID# (세금 ID 번호)</t>
        </is>
      </c>
      <c r="C20" s="165" t="n"/>
      <c r="D20" s="165" t="n"/>
      <c r="E20" s="165" t="n"/>
      <c r="F20" s="165" t="n"/>
      <c r="G20" s="165" t="n"/>
      <c r="H20" s="165" t="n"/>
      <c r="I20" s="165" t="n"/>
      <c r="J20" s="165" t="n"/>
      <c r="K20" s="165" t="n"/>
      <c r="L20" s="165" t="n"/>
      <c r="M20" s="165" t="n"/>
      <c r="N20" s="165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4" t="n"/>
      <c r="AB20" s="2" t="n"/>
      <c r="AC20" s="5" t="inlineStr">
        <is>
          <t>X</t>
        </is>
      </c>
      <c r="AD20" s="1" t="inlineStr">
        <is>
          <t xml:space="preserve"> Same as CONSIGNEE (수취인과 동일)</t>
        </is>
      </c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BA20" s="15" t="n"/>
    </row>
    <row r="21">
      <c r="B21" s="37" t="inlineStr">
        <is>
          <t>Contact Name (담당자 이름)</t>
        </is>
      </c>
      <c r="C21" s="165" t="n"/>
      <c r="D21" s="165" t="n"/>
      <c r="E21" s="165" t="n"/>
      <c r="F21" s="165" t="n"/>
      <c r="G21" s="165" t="n"/>
      <c r="H21" s="165" t="n"/>
      <c r="I21" s="165" t="n"/>
      <c r="J21" s="165" t="n"/>
      <c r="K21" s="165" t="n"/>
      <c r="L21" s="165" t="n"/>
      <c r="M21" s="165" t="n"/>
      <c r="N21" s="165" t="n"/>
      <c r="O21" s="42" t="inlineStr">
        <is>
          <t>Hitomi Monzonpersivale</t>
        </is>
      </c>
      <c r="P21" s="165" t="n"/>
      <c r="Q21" s="165" t="n"/>
      <c r="R21" s="165" t="n"/>
      <c r="S21" s="165" t="n"/>
      <c r="T21" s="165" t="n"/>
      <c r="U21" s="165" t="n"/>
      <c r="V21" s="165" t="n"/>
      <c r="W21" s="165" t="n"/>
      <c r="X21" s="165" t="n"/>
      <c r="Y21" s="165" t="n"/>
      <c r="Z21" s="165" t="n"/>
      <c r="AA21" s="169" t="n"/>
      <c r="AB21" s="16" t="n"/>
      <c r="BA21" s="15" t="n"/>
    </row>
    <row r="22">
      <c r="B22" s="37" t="inlineStr">
        <is>
          <t>Telephone No. (전화번호)</t>
        </is>
      </c>
      <c r="C22" s="165" t="n"/>
      <c r="D22" s="165" t="n"/>
      <c r="E22" s="165" t="n"/>
      <c r="F22" s="165" t="n"/>
      <c r="G22" s="165" t="n"/>
      <c r="H22" s="165" t="n"/>
      <c r="I22" s="165" t="n"/>
      <c r="J22" s="165" t="n"/>
      <c r="K22" s="165" t="n"/>
      <c r="L22" s="165" t="n"/>
      <c r="M22" s="165" t="n"/>
      <c r="N22" s="165" t="n"/>
      <c r="O22" s="44" t="inlineStr">
        <is>
          <t>81467854983</t>
        </is>
      </c>
      <c r="P22" s="165" t="n"/>
      <c r="Q22" s="165" t="n"/>
      <c r="R22" s="165" t="n"/>
      <c r="S22" s="165" t="n"/>
      <c r="T22" s="165" t="n"/>
      <c r="U22" s="165" t="n"/>
      <c r="V22" s="165" t="n"/>
      <c r="W22" s="165" t="n"/>
      <c r="X22" s="165" t="n"/>
      <c r="Y22" s="165" t="n"/>
      <c r="Z22" s="165" t="n"/>
      <c r="AA22" s="169" t="n"/>
      <c r="AB22" s="47" t="inlineStr">
        <is>
          <t>Tax ID# (세금 ID 번호)</t>
        </is>
      </c>
      <c r="AC22" s="167" t="n"/>
      <c r="AD22" s="167" t="n"/>
      <c r="AE22" s="167" t="n"/>
      <c r="AF22" s="167" t="n"/>
      <c r="AG22" s="167" t="n"/>
      <c r="AH22" s="167" t="n"/>
      <c r="AI22" s="167" t="n"/>
      <c r="AJ22" s="167" t="n"/>
      <c r="AK22" s="167" t="n"/>
      <c r="AL22" s="167" t="n"/>
      <c r="AM22" s="167" t="n"/>
      <c r="AN22" s="167" t="n"/>
      <c r="AO22" s="24" t="n"/>
      <c r="AP22" s="24" t="n"/>
      <c r="AQ22" s="24" t="n"/>
      <c r="AR22" s="24" t="n"/>
      <c r="AS22" s="24" t="n"/>
      <c r="AT22" s="24" t="n"/>
      <c r="AU22" s="24" t="n"/>
      <c r="AV22" s="24" t="n"/>
      <c r="AW22" s="24" t="n"/>
      <c r="AX22" s="24" t="n"/>
      <c r="AY22" s="24" t="n"/>
      <c r="AZ22" s="24" t="n"/>
      <c r="BA22" s="25" t="n"/>
    </row>
    <row r="23">
      <c r="B23" s="37" t="inlineStr">
        <is>
          <t>E-Mail (이메일)</t>
        </is>
      </c>
      <c r="C23" s="165" t="n"/>
      <c r="D23" s="165" t="n"/>
      <c r="E23" s="165" t="n"/>
      <c r="F23" s="165" t="n"/>
      <c r="G23" s="165" t="n"/>
      <c r="H23" s="165" t="n"/>
      <c r="I23" s="165" t="n"/>
      <c r="J23" s="165" t="n"/>
      <c r="K23" s="165" t="n"/>
      <c r="L23" s="165" t="n"/>
      <c r="M23" s="165" t="n"/>
      <c r="N23" s="165" t="n"/>
      <c r="O23" s="46" t="inlineStr">
        <is>
          <t>hitomi_monzonpersivale@ulvac.com</t>
        </is>
      </c>
      <c r="P23" s="165" t="n"/>
      <c r="Q23" s="165" t="n"/>
      <c r="R23" s="165" t="n"/>
      <c r="S23" s="165" t="n"/>
      <c r="T23" s="165" t="n"/>
      <c r="U23" s="165" t="n"/>
      <c r="V23" s="165" t="n"/>
      <c r="W23" s="165" t="n"/>
      <c r="X23" s="165" t="n"/>
      <c r="Y23" s="165" t="n"/>
      <c r="Z23" s="165" t="n"/>
      <c r="AA23" s="169" t="n"/>
      <c r="AB23" s="16" t="n"/>
      <c r="AO23" s="26" t="n"/>
      <c r="AP23" s="26" t="n"/>
      <c r="AQ23" s="26" t="n"/>
      <c r="AR23" s="26" t="n"/>
      <c r="AS23" s="26" t="n"/>
      <c r="AT23" s="26" t="n"/>
      <c r="AU23" s="26" t="n"/>
      <c r="AV23" s="26" t="n"/>
      <c r="AW23" s="26" t="n"/>
      <c r="AX23" s="26" t="n"/>
      <c r="AY23" s="26" t="n"/>
      <c r="AZ23" s="26" t="n"/>
      <c r="BA23" s="27" t="n"/>
    </row>
    <row r="24">
      <c r="B24" s="47" t="inlineStr">
        <is>
          <t>Company Name/Address (회사명/주소)</t>
        </is>
      </c>
      <c r="C24" s="167" t="n"/>
      <c r="D24" s="167" t="n"/>
      <c r="E24" s="167" t="n"/>
      <c r="F24" s="167" t="n"/>
      <c r="G24" s="167" t="n"/>
      <c r="H24" s="167" t="n"/>
      <c r="I24" s="167" t="n"/>
      <c r="J24" s="167" t="n"/>
      <c r="K24" s="167" t="n"/>
      <c r="L24" s="167" t="n"/>
      <c r="M24" s="167" t="n"/>
      <c r="N24" s="167" t="n"/>
      <c r="AA24" s="15" t="n"/>
      <c r="AB24" s="47" t="inlineStr">
        <is>
          <t>Company Name/Address (회사명/주소)</t>
        </is>
      </c>
      <c r="AC24" s="167" t="n"/>
      <c r="AD24" s="167" t="n"/>
      <c r="AE24" s="167" t="n"/>
      <c r="AF24" s="167" t="n"/>
      <c r="AG24" s="167" t="n"/>
      <c r="AH24" s="167" t="n"/>
      <c r="AI24" s="167" t="n"/>
      <c r="AJ24" s="167" t="n"/>
      <c r="AK24" s="167" t="n"/>
      <c r="AL24" s="167" t="n"/>
      <c r="AM24" s="167" t="n"/>
      <c r="AN24" s="167" t="n"/>
      <c r="BA24" s="15" t="n"/>
    </row>
    <row r="25">
      <c r="B25" s="16" t="inlineStr">
        <is>
          <t>ULVAC-PHI, INC.</t>
        </is>
      </c>
      <c r="AA25" s="15" t="n"/>
      <c r="AB25" s="16" t="n"/>
      <c r="BA25" s="15" t="n"/>
    </row>
    <row r="26">
      <c r="B26" s="16" t="inlineStr">
        <is>
          <t>ULVAC-PHI C-2, 4th Material Income, 2500 Hagisono, Chigasaki-Shi 2538522</t>
        </is>
      </c>
      <c r="AA26" s="15" t="n"/>
      <c r="AB26" s="16" t="n"/>
      <c r="BA26" s="15" t="n"/>
    </row>
    <row r="27">
      <c r="B27" s="16" t="inlineStr">
        <is>
          <t>Japan</t>
        </is>
      </c>
      <c r="AA27" s="15" t="n"/>
      <c r="AB27" s="16" t="n"/>
      <c r="BA27" s="15" t="n"/>
    </row>
    <row r="28" ht="18" customHeight="1" s="160" thickBot="1">
      <c r="B28" s="54" t="inlineStr">
        <is>
          <t>Country (국가)</t>
        </is>
      </c>
      <c r="C28" s="176" t="n"/>
      <c r="D28" s="176" t="n"/>
      <c r="E28" s="176" t="n"/>
      <c r="F28" s="176" t="n"/>
      <c r="G28" s="176" t="n"/>
      <c r="H28" s="176" t="n"/>
      <c r="I28" s="176" t="n"/>
      <c r="J28" s="176" t="n"/>
      <c r="K28" s="176" t="n"/>
      <c r="L28" s="176" t="n"/>
      <c r="M28" s="176" t="n"/>
      <c r="N28" s="176" t="n"/>
      <c r="O28" s="59" t="inlineStr">
        <is>
          <t>JAPAN</t>
        </is>
      </c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7" t="n"/>
      <c r="AB28" s="54" t="inlineStr">
        <is>
          <t>Country (국가)</t>
        </is>
      </c>
      <c r="AC28" s="176" t="n"/>
      <c r="AD28" s="176" t="n"/>
      <c r="AE28" s="176" t="n"/>
      <c r="AF28" s="176" t="n"/>
      <c r="AG28" s="176" t="n"/>
      <c r="AH28" s="176" t="n"/>
      <c r="AI28" s="176" t="n"/>
      <c r="AJ28" s="176" t="n"/>
      <c r="AK28" s="176" t="n"/>
      <c r="AL28" s="176" t="n"/>
      <c r="AM28" s="176" t="n"/>
      <c r="AN28" s="176" t="n"/>
      <c r="AO28" s="59" t="inlineStr">
        <is>
          <t>JAPAN</t>
        </is>
      </c>
      <c r="AP28" s="176" t="n"/>
      <c r="AQ28" s="176" t="n"/>
      <c r="AR28" s="176" t="n"/>
      <c r="AS28" s="176" t="n"/>
      <c r="AT28" s="176" t="n"/>
      <c r="AU28" s="176" t="n"/>
      <c r="AV28" s="176" t="n"/>
      <c r="AW28" s="176" t="n"/>
      <c r="AX28" s="176" t="n"/>
      <c r="AY28" s="176" t="n"/>
      <c r="AZ28" s="176" t="n"/>
      <c r="BA28" s="177" t="n"/>
    </row>
    <row r="29">
      <c r="B29" s="3" t="inlineStr">
        <is>
          <t>If there is a designated broker for this shipment, please provide contact information (본 선적과 관련하여 지정된 중개인이 있는 경우 연락처 정보를 입력하십시오.)</t>
        </is>
      </c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  <c r="AG29" s="22" t="n"/>
      <c r="AH29" s="22" t="n"/>
      <c r="AI29" s="22" t="n"/>
      <c r="AJ29" s="22" t="n"/>
      <c r="AK29" s="22" t="n"/>
      <c r="AL29" s="22" t="n"/>
      <c r="AM29" s="22" t="n"/>
      <c r="AN29" s="22" t="n"/>
      <c r="AO29" s="22" t="n"/>
      <c r="AP29" s="22" t="n"/>
      <c r="AQ29" s="22" t="n"/>
      <c r="AR29" s="22" t="n"/>
      <c r="AS29" s="22" t="n"/>
      <c r="AT29" s="22" t="n"/>
      <c r="AU29" s="22" t="n"/>
      <c r="AV29" s="22" t="n"/>
      <c r="AW29" s="22" t="n"/>
      <c r="AX29" s="22" t="n"/>
      <c r="AY29" s="22" t="n"/>
      <c r="AZ29" s="22" t="n"/>
      <c r="BA29" s="23" t="n"/>
    </row>
    <row r="30" ht="21.75" customHeight="1" s="160">
      <c r="B30" s="16" t="n"/>
      <c r="C30" s="1" t="inlineStr">
        <is>
          <t>Name of Broker (브로커 이름)</t>
        </is>
      </c>
      <c r="X30" s="1" t="inlineStr">
        <is>
          <t>Tel. No (전화 번호)</t>
        </is>
      </c>
      <c r="AK30" s="1" t="inlineStr">
        <is>
          <t>Contact Name (담당자 이름)</t>
        </is>
      </c>
      <c r="BA30" s="15" t="n"/>
    </row>
    <row r="31">
      <c r="B31" s="16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  <c r="AH31" s="28" t="n"/>
      <c r="AI31" s="28" t="n"/>
      <c r="AK31" s="28" t="n"/>
      <c r="AL31" s="28" t="n"/>
      <c r="AM31" s="28" t="n"/>
      <c r="AN31" s="28" t="n"/>
      <c r="AO31" s="28" t="n"/>
      <c r="AP31" s="28" t="n"/>
      <c r="AQ31" s="28" t="n"/>
      <c r="AR31" s="28" t="n"/>
      <c r="AS31" s="28" t="n"/>
      <c r="AT31" s="28" t="n"/>
      <c r="AU31" s="28" t="n"/>
      <c r="AV31" s="28" t="n"/>
      <c r="AW31" s="28" t="n"/>
      <c r="AX31" s="28" t="n"/>
      <c r="AY31" s="28" t="n"/>
      <c r="AZ31" s="28" t="n"/>
      <c r="BA31" s="15" t="n"/>
    </row>
    <row r="32" ht="7.5" customHeight="1" s="160" thickBot="1">
      <c r="B32" s="16" t="n"/>
      <c r="BA32" s="15" t="n"/>
    </row>
    <row r="33" ht="18" customHeight="1" s="160" thickBot="1">
      <c r="B33" s="2" t="inlineStr">
        <is>
          <t>Duties and Taxes Payable by (관세 및 세금 지불인)</t>
        </is>
      </c>
      <c r="AB33" s="18" t="inlineStr">
        <is>
          <t>X</t>
        </is>
      </c>
      <c r="AC33" s="1" t="inlineStr">
        <is>
          <t xml:space="preserve"> Exporter (수출업자)</t>
        </is>
      </c>
      <c r="AK33" s="18" t="inlineStr"/>
      <c r="AL33" s="1" t="inlineStr">
        <is>
          <t xml:space="preserve"> Consignee (수취인)</t>
        </is>
      </c>
      <c r="AT33" s="18" t="inlineStr"/>
      <c r="AU33" s="1" t="inlineStr">
        <is>
          <t xml:space="preserve"> Other (기타)</t>
        </is>
      </c>
      <c r="BA33" s="15" t="n"/>
    </row>
    <row r="34" ht="24" customHeight="1" s="160">
      <c r="B34" s="2" t="inlineStr">
        <is>
          <t>If Other, please specify (기타인 경우, 상세 정보를 입력하십시오.)</t>
        </is>
      </c>
      <c r="X34" s="28" t="n"/>
      <c r="Y34" s="28" t="n"/>
      <c r="Z34" s="28" t="n"/>
      <c r="AA34" s="28" t="n"/>
      <c r="AB34" s="28" t="n"/>
      <c r="AC34" s="28" t="n"/>
      <c r="AD34" s="28" t="n"/>
      <c r="AE34" s="28" t="n"/>
      <c r="AF34" s="28" t="n"/>
      <c r="AG34" s="28" t="n"/>
      <c r="AH34" s="28" t="n"/>
      <c r="AI34" s="28" t="n"/>
      <c r="AJ34" s="28" t="n"/>
      <c r="AK34" s="28" t="n"/>
      <c r="AL34" s="28" t="n"/>
      <c r="AM34" s="28" t="n"/>
      <c r="AN34" s="28" t="n"/>
      <c r="AO34" s="28" t="n"/>
      <c r="AP34" s="28" t="n"/>
      <c r="AQ34" s="28" t="n"/>
      <c r="AR34" s="28" t="n"/>
      <c r="AS34" s="28" t="n"/>
      <c r="AT34" s="28" t="n"/>
      <c r="AU34" s="28" t="n"/>
      <c r="AV34" s="28" t="n"/>
      <c r="AW34" s="28" t="n"/>
      <c r="AX34" s="28" t="n"/>
      <c r="AY34" s="28" t="n"/>
      <c r="AZ34" s="28" t="n"/>
      <c r="BA34" s="15" t="n"/>
    </row>
    <row r="35" ht="15" customHeight="1" s="160">
      <c r="B35" s="6" t="n"/>
      <c r="X35" s="1" t="inlineStr">
        <is>
          <t>Other Charges</t>
        </is>
      </c>
      <c r="BA35" s="15" t="n"/>
    </row>
    <row r="36" ht="24" customHeight="1" s="160">
      <c r="B36" s="2" t="n"/>
      <c r="F36" s="1" t="n"/>
      <c r="AD36" s="1" t="inlineStr">
        <is>
          <t>TERM :</t>
        </is>
      </c>
      <c r="AG36" s="62" t="inlineStr">
        <is>
          <t>DDP</t>
        </is>
      </c>
      <c r="AH36" s="161" t="n"/>
      <c r="AI36" s="161" t="n"/>
      <c r="AJ36" s="161" t="n"/>
      <c r="AK36" s="161" t="n"/>
      <c r="AL36" s="161" t="n"/>
      <c r="AM36" s="161" t="n"/>
      <c r="AN36" s="161" t="n"/>
      <c r="AO36" s="161" t="n"/>
      <c r="AP36" s="161" t="n"/>
      <c r="AQ36" s="161" t="n"/>
      <c r="AR36" s="161" t="n"/>
      <c r="AS36" s="161" t="n"/>
      <c r="AT36" s="161" t="n"/>
      <c r="AU36" s="161" t="n"/>
      <c r="AV36" s="161" t="n"/>
      <c r="AW36" s="161" t="n"/>
      <c r="AX36" s="161" t="n"/>
      <c r="AY36" s="161" t="n"/>
      <c r="AZ36" s="161" t="n"/>
      <c r="BA36" s="15" t="n"/>
    </row>
    <row r="37" ht="5.25" customHeight="1" s="160" thickBot="1">
      <c r="B37" s="19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20" t="n"/>
      <c r="AU37" s="20" t="n"/>
      <c r="AV37" s="20" t="n"/>
      <c r="AW37" s="20" t="n"/>
      <c r="AX37" s="20" t="n"/>
      <c r="AY37" s="20" t="n"/>
      <c r="AZ37" s="20" t="n"/>
      <c r="BA37" s="21" t="n"/>
    </row>
    <row r="38" ht="16.5" customHeight="1" s="160">
      <c r="B38" s="37" t="inlineStr">
        <is>
          <t>Item Name (품명)</t>
        </is>
      </c>
      <c r="C38" s="165" t="n"/>
      <c r="D38" s="165" t="n"/>
      <c r="E38" s="165" t="n"/>
      <c r="F38" s="165" t="n"/>
      <c r="G38" s="165" t="n"/>
      <c r="H38" s="165" t="n"/>
      <c r="I38" s="165" t="n"/>
      <c r="J38" s="165" t="n"/>
      <c r="K38" s="165" t="n"/>
      <c r="L38" s="165" t="n"/>
      <c r="M38" s="165" t="n"/>
      <c r="N38" s="165" t="n"/>
      <c r="O38" s="57" t="inlineStr">
        <is>
          <t>PARTS OF MEASURING INSTRUMENTS</t>
        </is>
      </c>
      <c r="P38" s="178" t="n"/>
      <c r="Q38" s="178" t="n"/>
      <c r="R38" s="178" t="n"/>
      <c r="S38" s="178" t="n"/>
      <c r="T38" s="178" t="n"/>
      <c r="U38" s="178" t="n"/>
      <c r="V38" s="178" t="n"/>
      <c r="W38" s="178" t="n"/>
      <c r="X38" s="178" t="n"/>
      <c r="Y38" s="178" t="n"/>
      <c r="Z38" s="178" t="n"/>
      <c r="AA38" s="178" t="n"/>
      <c r="AB38" s="178" t="n"/>
      <c r="AC38" s="178" t="n"/>
      <c r="AD38" s="178" t="n"/>
      <c r="AE38" s="178" t="n"/>
      <c r="AF38" s="178" t="n"/>
      <c r="AG38" s="178" t="n"/>
      <c r="AH38" s="178" t="n"/>
      <c r="AI38" s="178" t="n"/>
      <c r="AJ38" s="178" t="n"/>
      <c r="AK38" s="178" t="n"/>
      <c r="AL38" s="178" t="n"/>
      <c r="AM38" s="178" t="n"/>
      <c r="AN38" s="178" t="n"/>
      <c r="AO38" s="178" t="n"/>
      <c r="AP38" s="178" t="n"/>
      <c r="AQ38" s="178" t="n"/>
      <c r="AR38" s="178" t="n"/>
      <c r="AS38" s="178" t="n"/>
      <c r="AT38" s="178" t="n"/>
      <c r="AU38" s="178" t="n"/>
      <c r="AV38" s="178" t="n"/>
      <c r="AW38" s="178" t="n"/>
      <c r="AX38" s="178" t="n"/>
      <c r="AY38" s="178" t="n"/>
      <c r="AZ38" s="178" t="n"/>
      <c r="BA38" s="179" t="n"/>
    </row>
    <row r="39" ht="16.5" customHeight="1" s="160" thickBot="1">
      <c r="B39" s="54" t="inlineStr">
        <is>
          <t>Trade Item Name (거래품명)</t>
        </is>
      </c>
      <c r="C39" s="176" t="n"/>
      <c r="D39" s="176" t="n"/>
      <c r="E39" s="176" t="n"/>
      <c r="F39" s="176" t="n"/>
      <c r="G39" s="176" t="n"/>
      <c r="H39" s="176" t="n"/>
      <c r="I39" s="176" t="n"/>
      <c r="J39" s="176" t="n"/>
      <c r="K39" s="176" t="n"/>
      <c r="L39" s="176" t="n"/>
      <c r="M39" s="176" t="n"/>
      <c r="N39" s="176" t="n"/>
      <c r="O39" s="59" t="inlineStr">
        <is>
          <t>PARTS FOR SURFACE PROFILER ANALYSIS EQUIPMENT</t>
        </is>
      </c>
      <c r="P39" s="176" t="n"/>
      <c r="Q39" s="176" t="n"/>
      <c r="R39" s="176" t="n"/>
      <c r="S39" s="176" t="n"/>
      <c r="T39" s="176" t="n"/>
      <c r="U39" s="176" t="n"/>
      <c r="V39" s="176" t="n"/>
      <c r="W39" s="176" t="n"/>
      <c r="X39" s="176" t="n"/>
      <c r="Y39" s="176" t="n"/>
      <c r="Z39" s="176" t="n"/>
      <c r="AA39" s="176" t="n"/>
      <c r="AB39" s="176" t="n"/>
      <c r="AC39" s="176" t="n"/>
      <c r="AD39" s="176" t="n"/>
      <c r="AE39" s="176" t="n"/>
      <c r="AF39" s="176" t="n"/>
      <c r="AG39" s="176" t="n"/>
      <c r="AH39" s="176" t="n"/>
      <c r="AI39" s="176" t="n"/>
      <c r="AJ39" s="176" t="n"/>
      <c r="AK39" s="176" t="n"/>
      <c r="AL39" s="176" t="n"/>
      <c r="AM39" s="176" t="n"/>
      <c r="AN39" s="176" t="n"/>
      <c r="AO39" s="176" t="n"/>
      <c r="AP39" s="176" t="n"/>
      <c r="AQ39" s="176" t="n"/>
      <c r="AR39" s="176" t="n"/>
      <c r="AS39" s="176" t="n"/>
      <c r="AT39" s="176" t="n"/>
      <c r="AU39" s="176" t="n"/>
      <c r="AV39" s="176" t="n"/>
      <c r="AW39" s="176" t="n"/>
      <c r="AX39" s="176" t="n"/>
      <c r="AY39" s="176" t="n"/>
      <c r="AZ39" s="176" t="n"/>
      <c r="BA39" s="177" t="n"/>
    </row>
    <row r="40" ht="16.5" customHeight="1" s="160">
      <c r="B40" s="180" t="inlineStr">
        <is>
          <t>No. of
Packages
(발송물 개수)</t>
        </is>
      </c>
      <c r="C40" s="162" t="n"/>
      <c r="D40" s="162" t="n"/>
      <c r="E40" s="164" t="n"/>
      <c r="F40" s="180" t="inlineStr">
        <is>
          <t>No. of
Units
(단위 수)</t>
        </is>
      </c>
      <c r="G40" s="162" t="n"/>
      <c r="H40" s="164" t="n"/>
      <c r="I40" s="181" t="inlineStr">
        <is>
          <t>Net Weight
(LBS/KGS)
(순중량)</t>
        </is>
      </c>
      <c r="J40" s="162" t="n"/>
      <c r="K40" s="162" t="n"/>
      <c r="L40" s="162" t="n"/>
      <c r="M40" s="180" t="inlineStr">
        <is>
          <t>Unit of
Measure
(측정 단위)</t>
        </is>
      </c>
      <c r="N40" s="162" t="n"/>
      <c r="O40" s="162" t="n"/>
      <c r="P40" s="164" t="n"/>
      <c r="Q40" s="181" t="inlineStr">
        <is>
          <t>Description of Goods
(물품 명세)</t>
        </is>
      </c>
      <c r="R40" s="162" t="n"/>
      <c r="S40" s="162" t="n"/>
      <c r="T40" s="162" t="n"/>
      <c r="U40" s="162" t="n"/>
      <c r="V40" s="162" t="n"/>
      <c r="W40" s="162" t="n"/>
      <c r="X40" s="162" t="n"/>
      <c r="Y40" s="162" t="n"/>
      <c r="Z40" s="162" t="n"/>
      <c r="AA40" s="162" t="n"/>
      <c r="AB40" s="162" t="n"/>
      <c r="AC40" s="162" t="n"/>
      <c r="AD40" s="162" t="n"/>
      <c r="AE40" s="162" t="n"/>
      <c r="AF40" s="162" t="n"/>
      <c r="AG40" s="162" t="n"/>
      <c r="AH40" s="180" t="inlineStr">
        <is>
          <t>Part Number
(부품 번호)</t>
        </is>
      </c>
      <c r="AI40" s="162" t="n"/>
      <c r="AJ40" s="162" t="n"/>
      <c r="AK40" s="162" t="n"/>
      <c r="AL40" s="164" t="n"/>
      <c r="AM40" s="181" t="inlineStr">
        <is>
          <t>Country of
Manufacture
(제조 국가)</t>
        </is>
      </c>
      <c r="AN40" s="162" t="n"/>
      <c r="AO40" s="162" t="n"/>
      <c r="AP40" s="162" t="n"/>
      <c r="AQ40" s="180" t="inlineStr">
        <is>
          <t>Unit
Value
(단가)</t>
        </is>
      </c>
      <c r="AR40" s="162" t="n"/>
      <c r="AS40" s="162" t="n"/>
      <c r="AT40" s="162" t="n"/>
      <c r="AU40" s="164" t="n"/>
      <c r="AV40" s="182" t="inlineStr">
        <is>
          <t>Total
Value
(총 가격)</t>
        </is>
      </c>
      <c r="AW40" s="162" t="n"/>
      <c r="AX40" s="162" t="n"/>
      <c r="AY40" s="162" t="n"/>
      <c r="AZ40" s="162" t="n"/>
      <c r="BA40" s="164" t="n"/>
    </row>
    <row r="41">
      <c r="B41" s="183" t="n"/>
      <c r="E41" s="175" t="n"/>
      <c r="F41" s="183" t="n"/>
      <c r="H41" s="175" t="n"/>
      <c r="M41" s="183" t="n"/>
      <c r="P41" s="175" t="n"/>
      <c r="AH41" s="183" t="n"/>
      <c r="AL41" s="175" t="n"/>
      <c r="AQ41" s="183" t="n"/>
      <c r="AU41" s="175" t="n"/>
      <c r="BA41" s="175" t="n"/>
    </row>
    <row r="42" ht="18" customHeight="1" s="160" thickBot="1">
      <c r="B42" s="184" t="n"/>
      <c r="C42" s="185" t="n"/>
      <c r="D42" s="185" t="n"/>
      <c r="E42" s="186" t="n"/>
      <c r="F42" s="184" t="n"/>
      <c r="G42" s="185" t="n"/>
      <c r="H42" s="186" t="n"/>
      <c r="I42" s="185" t="n"/>
      <c r="J42" s="185" t="n"/>
      <c r="K42" s="185" t="n"/>
      <c r="L42" s="185" t="n"/>
      <c r="M42" s="184" t="n"/>
      <c r="N42" s="185" t="n"/>
      <c r="O42" s="185" t="n"/>
      <c r="P42" s="186" t="n"/>
      <c r="Q42" s="185" t="n"/>
      <c r="R42" s="185" t="n"/>
      <c r="S42" s="185" t="n"/>
      <c r="T42" s="185" t="n"/>
      <c r="U42" s="185" t="n"/>
      <c r="V42" s="185" t="n"/>
      <c r="W42" s="185" t="n"/>
      <c r="X42" s="185" t="n"/>
      <c r="Y42" s="185" t="n"/>
      <c r="Z42" s="185" t="n"/>
      <c r="AA42" s="185" t="n"/>
      <c r="AB42" s="185" t="n"/>
      <c r="AC42" s="185" t="n"/>
      <c r="AD42" s="185" t="n"/>
      <c r="AE42" s="185" t="n"/>
      <c r="AF42" s="185" t="n"/>
      <c r="AG42" s="185" t="n"/>
      <c r="AH42" s="184" t="n"/>
      <c r="AI42" s="185" t="n"/>
      <c r="AJ42" s="185" t="n"/>
      <c r="AK42" s="185" t="n"/>
      <c r="AL42" s="186" t="n"/>
      <c r="AM42" s="185" t="n"/>
      <c r="AN42" s="185" t="n"/>
      <c r="AO42" s="185" t="n"/>
      <c r="AP42" s="185" t="n"/>
      <c r="AQ42" s="184" t="n"/>
      <c r="AR42" s="185" t="n"/>
      <c r="AS42" s="185" t="n"/>
      <c r="AT42" s="185" t="n"/>
      <c r="AU42" s="186" t="n"/>
      <c r="AV42" s="185" t="n"/>
      <c r="AW42" s="185" t="n"/>
      <c r="AX42" s="185" t="n"/>
      <c r="AY42" s="185" t="n"/>
      <c r="AZ42" s="185" t="n"/>
      <c r="BA42" s="186" t="n"/>
    </row>
    <row r="43">
      <c r="B43" s="187" t="n">
        <v>6</v>
      </c>
      <c r="C43" s="165" t="n"/>
      <c r="D43" s="165" t="n"/>
      <c r="E43" s="169" t="n"/>
      <c r="F43" s="188" t="n">
        <v>6</v>
      </c>
      <c r="G43" s="178" t="n"/>
      <c r="H43" s="179" t="n"/>
      <c r="I43" s="189" t="n">
        <v>0</v>
      </c>
      <c r="J43" s="178" t="n"/>
      <c r="K43" s="178" t="n"/>
      <c r="L43" s="179" t="n"/>
      <c r="M43" s="188" t="inlineStr">
        <is>
          <t>PCS</t>
        </is>
      </c>
      <c r="N43" s="178" t="n"/>
      <c r="O43" s="178" t="n"/>
      <c r="P43" s="179" t="n"/>
      <c r="Q43" s="190" t="inlineStr">
        <is>
          <t>ASSY-MOD 32-460 HS DEFL CTRL,ROHS</t>
        </is>
      </c>
      <c r="R43" s="178" t="n"/>
      <c r="S43" s="178" t="n"/>
      <c r="T43" s="178" t="n"/>
      <c r="U43" s="178" t="n"/>
      <c r="V43" s="178" t="n"/>
      <c r="W43" s="178" t="n"/>
      <c r="X43" s="178" t="n"/>
      <c r="Y43" s="178" t="n"/>
      <c r="Z43" s="178" t="n"/>
      <c r="AA43" s="178" t="n"/>
      <c r="AB43" s="178" t="n"/>
      <c r="AC43" s="178" t="n"/>
      <c r="AD43" s="178" t="n"/>
      <c r="AE43" s="178" t="n"/>
      <c r="AF43" s="178" t="n"/>
      <c r="AG43" s="179" t="n"/>
      <c r="AH43" s="191" t="inlineStr">
        <is>
          <t>B10000850460</t>
        </is>
      </c>
      <c r="AI43" s="162" t="n"/>
      <c r="AJ43" s="162" t="n"/>
      <c r="AK43" s="162" t="n"/>
      <c r="AL43" s="164" t="n"/>
      <c r="AM43" s="188" t="inlineStr">
        <is>
          <t>KR</t>
        </is>
      </c>
      <c r="AN43" s="178" t="n"/>
      <c r="AO43" s="178" t="n"/>
      <c r="AP43" s="179" t="n"/>
      <c r="AQ43" s="192" t="n">
        <v>265000</v>
      </c>
      <c r="AR43" s="178" t="n"/>
      <c r="AS43" s="178" t="n"/>
      <c r="AT43" s="178" t="n"/>
      <c r="AU43" s="179" t="n"/>
      <c r="AV43" s="193">
        <f>F43*AQ43</f>
        <v/>
      </c>
      <c r="AW43" s="178" t="n"/>
      <c r="AX43" s="178" t="n"/>
      <c r="AY43" s="178" t="n"/>
      <c r="AZ43" s="178" t="n"/>
      <c r="BA43" s="179" t="n"/>
    </row>
    <row r="44">
      <c r="B44" s="187" t="n">
        <v>8</v>
      </c>
      <c r="C44" s="165" t="n"/>
      <c r="D44" s="165" t="n"/>
      <c r="E44" s="169" t="n"/>
      <c r="F44" s="187" t="n">
        <v>8</v>
      </c>
      <c r="G44" s="165" t="n"/>
      <c r="H44" s="169" t="n"/>
      <c r="I44" s="194" t="n">
        <v>0</v>
      </c>
      <c r="J44" s="165" t="n"/>
      <c r="K44" s="165" t="n"/>
      <c r="L44" s="169" t="n"/>
      <c r="M44" s="187" t="inlineStr">
        <is>
          <t>PCS</t>
        </is>
      </c>
      <c r="N44" s="165" t="n"/>
      <c r="O44" s="165" t="n"/>
      <c r="P44" s="169" t="n"/>
      <c r="Q44" s="195" t="inlineStr">
        <is>
          <t>ASSY-MOD 32-450 HXPS GZE LENS CTRL,ROHS</t>
        </is>
      </c>
      <c r="R44" s="165" t="n"/>
      <c r="S44" s="165" t="n"/>
      <c r="T44" s="165" t="n"/>
      <c r="U44" s="165" t="n"/>
      <c r="V44" s="165" t="n"/>
      <c r="W44" s="165" t="n"/>
      <c r="X44" s="165" t="n"/>
      <c r="Y44" s="165" t="n"/>
      <c r="Z44" s="165" t="n"/>
      <c r="AA44" s="165" t="n"/>
      <c r="AB44" s="165" t="n"/>
      <c r="AC44" s="165" t="n"/>
      <c r="AD44" s="165" t="n"/>
      <c r="AE44" s="165" t="n"/>
      <c r="AF44" s="165" t="n"/>
      <c r="AG44" s="169" t="n"/>
      <c r="AH44" s="187" t="inlineStr">
        <is>
          <t>B10000850490</t>
        </is>
      </c>
      <c r="AI44" s="165" t="n"/>
      <c r="AJ44" s="165" t="n"/>
      <c r="AK44" s="165" t="n"/>
      <c r="AL44" s="169" t="n"/>
      <c r="AM44" s="187" t="inlineStr">
        <is>
          <t>KR</t>
        </is>
      </c>
      <c r="AN44" s="165" t="n"/>
      <c r="AO44" s="165" t="n"/>
      <c r="AP44" s="169" t="n"/>
      <c r="AQ44" s="196" t="n">
        <v>525000</v>
      </c>
      <c r="AR44" s="165" t="n"/>
      <c r="AS44" s="165" t="n"/>
      <c r="AT44" s="165" t="n"/>
      <c r="AU44" s="169" t="n"/>
      <c r="AV44" s="197">
        <f>F44*AQ44</f>
        <v/>
      </c>
      <c r="AW44" s="165" t="n"/>
      <c r="AX44" s="165" t="n"/>
      <c r="AY44" s="165" t="n"/>
      <c r="AZ44" s="165" t="n"/>
      <c r="BA44" s="169" t="n"/>
    </row>
    <row r="45">
      <c r="B45" s="187" t="n"/>
      <c r="C45" s="165" t="n"/>
      <c r="D45" s="165" t="n"/>
      <c r="E45" s="169" t="n"/>
      <c r="F45" s="187" t="n"/>
      <c r="G45" s="165" t="n"/>
      <c r="H45" s="169" t="n"/>
      <c r="I45" s="198" t="n"/>
      <c r="J45" s="165" t="n"/>
      <c r="K45" s="165" t="n"/>
      <c r="L45" s="169" t="n"/>
      <c r="M45" s="187" t="n"/>
      <c r="N45" s="165" t="n"/>
      <c r="O45" s="165" t="n"/>
      <c r="P45" s="169" t="n"/>
      <c r="Q45" s="195" t="n"/>
      <c r="R45" s="165" t="n"/>
      <c r="S45" s="165" t="n"/>
      <c r="T45" s="165" t="n"/>
      <c r="U45" s="165" t="n"/>
      <c r="V45" s="165" t="n"/>
      <c r="W45" s="165" t="n"/>
      <c r="X45" s="165" t="n"/>
      <c r="Y45" s="165" t="n"/>
      <c r="Z45" s="165" t="n"/>
      <c r="AA45" s="165" t="n"/>
      <c r="AB45" s="165" t="n"/>
      <c r="AC45" s="165" t="n"/>
      <c r="AD45" s="165" t="n"/>
      <c r="AE45" s="165" t="n"/>
      <c r="AF45" s="165" t="n"/>
      <c r="AG45" s="169" t="n"/>
      <c r="AH45" s="187" t="n"/>
      <c r="AI45" s="165" t="n"/>
      <c r="AJ45" s="165" t="n"/>
      <c r="AK45" s="165" t="n"/>
      <c r="AL45" s="169" t="n"/>
      <c r="AM45" s="187" t="n"/>
      <c r="AN45" s="165" t="n"/>
      <c r="AO45" s="165" t="n"/>
      <c r="AP45" s="169" t="n"/>
      <c r="AQ45" s="197" t="n"/>
      <c r="AR45" s="165" t="n"/>
      <c r="AS45" s="165" t="n"/>
      <c r="AT45" s="165" t="n"/>
      <c r="AU45" s="169" t="n"/>
      <c r="AV45" s="197">
        <f>F45*AQ45</f>
        <v/>
      </c>
      <c r="AW45" s="165" t="n"/>
      <c r="AX45" s="165" t="n"/>
      <c r="AY45" s="165" t="n"/>
      <c r="AZ45" s="165" t="n"/>
      <c r="BA45" s="169" t="n"/>
    </row>
    <row r="46">
      <c r="B46" s="187" t="n"/>
      <c r="C46" s="165" t="n"/>
      <c r="D46" s="165" t="n"/>
      <c r="E46" s="169" t="n"/>
      <c r="F46" s="187" t="n"/>
      <c r="G46" s="165" t="n"/>
      <c r="H46" s="169" t="n"/>
      <c r="I46" s="187" t="n"/>
      <c r="J46" s="165" t="n"/>
      <c r="K46" s="165" t="n"/>
      <c r="L46" s="169" t="n"/>
      <c r="M46" s="187" t="n"/>
      <c r="N46" s="165" t="n"/>
      <c r="O46" s="165" t="n"/>
      <c r="P46" s="169" t="n"/>
      <c r="Q46" s="195" t="n"/>
      <c r="R46" s="165" t="n"/>
      <c r="S46" s="165" t="n"/>
      <c r="T46" s="165" t="n"/>
      <c r="U46" s="165" t="n"/>
      <c r="V46" s="165" t="n"/>
      <c r="W46" s="165" t="n"/>
      <c r="X46" s="165" t="n"/>
      <c r="Y46" s="165" t="n"/>
      <c r="Z46" s="165" t="n"/>
      <c r="AA46" s="165" t="n"/>
      <c r="AB46" s="165" t="n"/>
      <c r="AC46" s="165" t="n"/>
      <c r="AD46" s="165" t="n"/>
      <c r="AE46" s="165" t="n"/>
      <c r="AF46" s="165" t="n"/>
      <c r="AG46" s="169" t="n"/>
      <c r="AH46" s="187" t="n"/>
      <c r="AI46" s="165" t="n"/>
      <c r="AJ46" s="165" t="n"/>
      <c r="AK46" s="165" t="n"/>
      <c r="AL46" s="169" t="n"/>
      <c r="AM46" s="187" t="n"/>
      <c r="AN46" s="165" t="n"/>
      <c r="AO46" s="165" t="n"/>
      <c r="AP46" s="169" t="n"/>
      <c r="AQ46" s="197" t="n"/>
      <c r="AR46" s="165" t="n"/>
      <c r="AS46" s="165" t="n"/>
      <c r="AT46" s="165" t="n"/>
      <c r="AU46" s="169" t="n"/>
      <c r="AV46" s="197">
        <f>F46*AQ46</f>
        <v/>
      </c>
      <c r="AW46" s="165" t="n"/>
      <c r="AX46" s="165" t="n"/>
      <c r="AY46" s="165" t="n"/>
      <c r="AZ46" s="165" t="n"/>
      <c r="BA46" s="169" t="n"/>
    </row>
    <row r="47">
      <c r="B47" s="187" t="n"/>
      <c r="C47" s="165" t="n"/>
      <c r="D47" s="165" t="n"/>
      <c r="E47" s="169" t="n"/>
      <c r="F47" s="187" t="n"/>
      <c r="G47" s="165" t="n"/>
      <c r="H47" s="169" t="n"/>
      <c r="I47" s="187" t="n"/>
      <c r="J47" s="165" t="n"/>
      <c r="K47" s="165" t="n"/>
      <c r="L47" s="169" t="n"/>
      <c r="M47" s="187" t="n"/>
      <c r="N47" s="165" t="n"/>
      <c r="O47" s="165" t="n"/>
      <c r="P47" s="169" t="n"/>
      <c r="Q47" s="195" t="n"/>
      <c r="R47" s="165" t="n"/>
      <c r="S47" s="165" t="n"/>
      <c r="T47" s="165" t="n"/>
      <c r="U47" s="165" t="n"/>
      <c r="V47" s="165" t="n"/>
      <c r="W47" s="165" t="n"/>
      <c r="X47" s="165" t="n"/>
      <c r="Y47" s="165" t="n"/>
      <c r="Z47" s="165" t="n"/>
      <c r="AA47" s="165" t="n"/>
      <c r="AB47" s="165" t="n"/>
      <c r="AC47" s="165" t="n"/>
      <c r="AD47" s="165" t="n"/>
      <c r="AE47" s="165" t="n"/>
      <c r="AF47" s="165" t="n"/>
      <c r="AG47" s="169" t="n"/>
      <c r="AH47" s="187" t="n"/>
      <c r="AI47" s="165" t="n"/>
      <c r="AJ47" s="165" t="n"/>
      <c r="AK47" s="165" t="n"/>
      <c r="AL47" s="169" t="n"/>
      <c r="AM47" s="187" t="n"/>
      <c r="AN47" s="165" t="n"/>
      <c r="AO47" s="165" t="n"/>
      <c r="AP47" s="169" t="n"/>
      <c r="AQ47" s="197" t="n"/>
      <c r="AR47" s="165" t="n"/>
      <c r="AS47" s="165" t="n"/>
      <c r="AT47" s="165" t="n"/>
      <c r="AU47" s="169" t="n"/>
      <c r="AV47" s="197">
        <f>F47*AQ47</f>
        <v/>
      </c>
      <c r="AW47" s="165" t="n"/>
      <c r="AX47" s="165" t="n"/>
      <c r="AY47" s="165" t="n"/>
      <c r="AZ47" s="165" t="n"/>
      <c r="BA47" s="169" t="n"/>
    </row>
    <row r="48">
      <c r="B48" s="187" t="n"/>
      <c r="C48" s="165" t="n"/>
      <c r="D48" s="165" t="n"/>
      <c r="E48" s="169" t="n"/>
      <c r="F48" s="187" t="n"/>
      <c r="G48" s="165" t="n"/>
      <c r="H48" s="169" t="n"/>
      <c r="I48" s="187" t="n"/>
      <c r="J48" s="165" t="n"/>
      <c r="K48" s="165" t="n"/>
      <c r="L48" s="169" t="n"/>
      <c r="M48" s="187" t="n"/>
      <c r="N48" s="165" t="n"/>
      <c r="O48" s="165" t="n"/>
      <c r="P48" s="169" t="n"/>
      <c r="Q48" s="195" t="n"/>
      <c r="R48" s="165" t="n"/>
      <c r="S48" s="165" t="n"/>
      <c r="T48" s="165" t="n"/>
      <c r="U48" s="165" t="n"/>
      <c r="V48" s="165" t="n"/>
      <c r="W48" s="165" t="n"/>
      <c r="X48" s="165" t="n"/>
      <c r="Y48" s="165" t="n"/>
      <c r="Z48" s="165" t="n"/>
      <c r="AA48" s="165" t="n"/>
      <c r="AB48" s="165" t="n"/>
      <c r="AC48" s="165" t="n"/>
      <c r="AD48" s="165" t="n"/>
      <c r="AE48" s="165" t="n"/>
      <c r="AF48" s="165" t="n"/>
      <c r="AG48" s="169" t="n"/>
      <c r="AH48" s="187" t="n"/>
      <c r="AI48" s="165" t="n"/>
      <c r="AJ48" s="165" t="n"/>
      <c r="AK48" s="165" t="n"/>
      <c r="AL48" s="169" t="n"/>
      <c r="AM48" s="187" t="n"/>
      <c r="AN48" s="165" t="n"/>
      <c r="AO48" s="165" t="n"/>
      <c r="AP48" s="169" t="n"/>
      <c r="AQ48" s="197" t="n"/>
      <c r="AR48" s="165" t="n"/>
      <c r="AS48" s="165" t="n"/>
      <c r="AT48" s="165" t="n"/>
      <c r="AU48" s="169" t="n"/>
      <c r="AV48" s="197">
        <f>F48*AQ48</f>
        <v/>
      </c>
      <c r="AW48" s="165" t="n"/>
      <c r="AX48" s="165" t="n"/>
      <c r="AY48" s="165" t="n"/>
      <c r="AZ48" s="165" t="n"/>
      <c r="BA48" s="169" t="n"/>
    </row>
    <row r="49">
      <c r="B49" s="187" t="n"/>
      <c r="C49" s="165" t="n"/>
      <c r="D49" s="165" t="n"/>
      <c r="E49" s="169" t="n"/>
      <c r="F49" s="187" t="n"/>
      <c r="G49" s="165" t="n"/>
      <c r="H49" s="169" t="n"/>
      <c r="I49" s="187" t="n"/>
      <c r="J49" s="165" t="n"/>
      <c r="K49" s="165" t="n"/>
      <c r="L49" s="169" t="n"/>
      <c r="M49" s="187" t="n"/>
      <c r="N49" s="165" t="n"/>
      <c r="O49" s="165" t="n"/>
      <c r="P49" s="169" t="n"/>
      <c r="Q49" s="195" t="n"/>
      <c r="R49" s="165" t="n"/>
      <c r="S49" s="165" t="n"/>
      <c r="T49" s="165" t="n"/>
      <c r="U49" s="165" t="n"/>
      <c r="V49" s="165" t="n"/>
      <c r="W49" s="165" t="n"/>
      <c r="X49" s="165" t="n"/>
      <c r="Y49" s="165" t="n"/>
      <c r="Z49" s="165" t="n"/>
      <c r="AA49" s="165" t="n"/>
      <c r="AB49" s="165" t="n"/>
      <c r="AC49" s="165" t="n"/>
      <c r="AD49" s="165" t="n"/>
      <c r="AE49" s="165" t="n"/>
      <c r="AF49" s="165" t="n"/>
      <c r="AG49" s="169" t="n"/>
      <c r="AH49" s="187" t="n"/>
      <c r="AI49" s="165" t="n"/>
      <c r="AJ49" s="165" t="n"/>
      <c r="AK49" s="165" t="n"/>
      <c r="AL49" s="169" t="n"/>
      <c r="AM49" s="187" t="n"/>
      <c r="AN49" s="165" t="n"/>
      <c r="AO49" s="165" t="n"/>
      <c r="AP49" s="169" t="n"/>
      <c r="AQ49" s="197" t="n"/>
      <c r="AR49" s="165" t="n"/>
      <c r="AS49" s="165" t="n"/>
      <c r="AT49" s="165" t="n"/>
      <c r="AU49" s="169" t="n"/>
      <c r="AV49" s="197">
        <f>F49*AQ49</f>
        <v/>
      </c>
      <c r="AW49" s="165" t="n"/>
      <c r="AX49" s="165" t="n"/>
      <c r="AY49" s="165" t="n"/>
      <c r="AZ49" s="165" t="n"/>
      <c r="BA49" s="169" t="n"/>
    </row>
    <row r="50">
      <c r="B50" s="187" t="n"/>
      <c r="C50" s="165" t="n"/>
      <c r="D50" s="165" t="n"/>
      <c r="E50" s="169" t="n"/>
      <c r="F50" s="187" t="n"/>
      <c r="G50" s="165" t="n"/>
      <c r="H50" s="169" t="n"/>
      <c r="I50" s="187" t="n"/>
      <c r="J50" s="165" t="n"/>
      <c r="K50" s="165" t="n"/>
      <c r="L50" s="169" t="n"/>
      <c r="M50" s="187" t="n"/>
      <c r="N50" s="165" t="n"/>
      <c r="O50" s="165" t="n"/>
      <c r="P50" s="169" t="n"/>
      <c r="Q50" s="195" t="n"/>
      <c r="R50" s="165" t="n"/>
      <c r="S50" s="165" t="n"/>
      <c r="T50" s="165" t="n"/>
      <c r="U50" s="165" t="n"/>
      <c r="V50" s="165" t="n"/>
      <c r="W50" s="165" t="n"/>
      <c r="X50" s="165" t="n"/>
      <c r="Y50" s="165" t="n"/>
      <c r="Z50" s="165" t="n"/>
      <c r="AA50" s="165" t="n"/>
      <c r="AB50" s="165" t="n"/>
      <c r="AC50" s="165" t="n"/>
      <c r="AD50" s="165" t="n"/>
      <c r="AE50" s="165" t="n"/>
      <c r="AF50" s="165" t="n"/>
      <c r="AG50" s="169" t="n"/>
      <c r="AH50" s="187" t="n"/>
      <c r="AI50" s="165" t="n"/>
      <c r="AJ50" s="165" t="n"/>
      <c r="AK50" s="165" t="n"/>
      <c r="AL50" s="169" t="n"/>
      <c r="AM50" s="187" t="n"/>
      <c r="AN50" s="165" t="n"/>
      <c r="AO50" s="165" t="n"/>
      <c r="AP50" s="169" t="n"/>
      <c r="AQ50" s="197" t="n"/>
      <c r="AR50" s="165" t="n"/>
      <c r="AS50" s="165" t="n"/>
      <c r="AT50" s="165" t="n"/>
      <c r="AU50" s="169" t="n"/>
      <c r="AV50" s="197">
        <f>F50*AQ50</f>
        <v/>
      </c>
      <c r="AW50" s="165" t="n"/>
      <c r="AX50" s="165" t="n"/>
      <c r="AY50" s="165" t="n"/>
      <c r="AZ50" s="165" t="n"/>
      <c r="BA50" s="169" t="n"/>
    </row>
    <row r="51">
      <c r="B51" s="187" t="n"/>
      <c r="C51" s="165" t="n"/>
      <c r="D51" s="165" t="n"/>
      <c r="E51" s="169" t="n"/>
      <c r="F51" s="187" t="n"/>
      <c r="G51" s="165" t="n"/>
      <c r="H51" s="169" t="n"/>
      <c r="I51" s="187" t="n"/>
      <c r="J51" s="165" t="n"/>
      <c r="K51" s="165" t="n"/>
      <c r="L51" s="169" t="n"/>
      <c r="M51" s="187" t="n"/>
      <c r="N51" s="165" t="n"/>
      <c r="O51" s="165" t="n"/>
      <c r="P51" s="169" t="n"/>
      <c r="Q51" s="195" t="n"/>
      <c r="R51" s="165" t="n"/>
      <c r="S51" s="165" t="n"/>
      <c r="T51" s="165" t="n"/>
      <c r="U51" s="165" t="n"/>
      <c r="V51" s="165" t="n"/>
      <c r="W51" s="165" t="n"/>
      <c r="X51" s="165" t="n"/>
      <c r="Y51" s="165" t="n"/>
      <c r="Z51" s="165" t="n"/>
      <c r="AA51" s="165" t="n"/>
      <c r="AB51" s="165" t="n"/>
      <c r="AC51" s="165" t="n"/>
      <c r="AD51" s="165" t="n"/>
      <c r="AE51" s="165" t="n"/>
      <c r="AF51" s="165" t="n"/>
      <c r="AG51" s="169" t="n"/>
      <c r="AH51" s="187" t="n"/>
      <c r="AI51" s="165" t="n"/>
      <c r="AJ51" s="165" t="n"/>
      <c r="AK51" s="165" t="n"/>
      <c r="AL51" s="169" t="n"/>
      <c r="AM51" s="187" t="n"/>
      <c r="AN51" s="165" t="n"/>
      <c r="AO51" s="165" t="n"/>
      <c r="AP51" s="169" t="n"/>
      <c r="AQ51" s="197" t="n"/>
      <c r="AR51" s="165" t="n"/>
      <c r="AS51" s="165" t="n"/>
      <c r="AT51" s="165" t="n"/>
      <c r="AU51" s="169" t="n"/>
      <c r="AV51" s="197">
        <f>F51*AQ51</f>
        <v/>
      </c>
      <c r="AW51" s="165" t="n"/>
      <c r="AX51" s="165" t="n"/>
      <c r="AY51" s="165" t="n"/>
      <c r="AZ51" s="165" t="n"/>
      <c r="BA51" s="169" t="n"/>
    </row>
    <row r="52">
      <c r="B52" s="187" t="n"/>
      <c r="C52" s="165" t="n"/>
      <c r="D52" s="165" t="n"/>
      <c r="E52" s="169" t="n"/>
      <c r="F52" s="187" t="n"/>
      <c r="G52" s="165" t="n"/>
      <c r="H52" s="169" t="n"/>
      <c r="I52" s="187" t="n"/>
      <c r="J52" s="165" t="n"/>
      <c r="K52" s="165" t="n"/>
      <c r="L52" s="169" t="n"/>
      <c r="M52" s="187" t="n"/>
      <c r="N52" s="165" t="n"/>
      <c r="O52" s="165" t="n"/>
      <c r="P52" s="169" t="n"/>
      <c r="Q52" s="195" t="n"/>
      <c r="R52" s="165" t="n"/>
      <c r="S52" s="165" t="n"/>
      <c r="T52" s="165" t="n"/>
      <c r="U52" s="165" t="n"/>
      <c r="V52" s="165" t="n"/>
      <c r="W52" s="165" t="n"/>
      <c r="X52" s="165" t="n"/>
      <c r="Y52" s="165" t="n"/>
      <c r="Z52" s="165" t="n"/>
      <c r="AA52" s="165" t="n"/>
      <c r="AB52" s="165" t="n"/>
      <c r="AC52" s="165" t="n"/>
      <c r="AD52" s="165" t="n"/>
      <c r="AE52" s="165" t="n"/>
      <c r="AF52" s="165" t="n"/>
      <c r="AG52" s="169" t="n"/>
      <c r="AH52" s="187" t="n"/>
      <c r="AI52" s="165" t="n"/>
      <c r="AJ52" s="165" t="n"/>
      <c r="AK52" s="165" t="n"/>
      <c r="AL52" s="169" t="n"/>
      <c r="AM52" s="187" t="n"/>
      <c r="AN52" s="165" t="n"/>
      <c r="AO52" s="165" t="n"/>
      <c r="AP52" s="169" t="n"/>
      <c r="AQ52" s="197" t="n"/>
      <c r="AR52" s="165" t="n"/>
      <c r="AS52" s="165" t="n"/>
      <c r="AT52" s="165" t="n"/>
      <c r="AU52" s="169" t="n"/>
      <c r="AV52" s="197">
        <f>F52*AQ52</f>
        <v/>
      </c>
      <c r="AW52" s="165" t="n"/>
      <c r="AX52" s="165" t="n"/>
      <c r="AY52" s="165" t="n"/>
      <c r="AZ52" s="165" t="n"/>
      <c r="BA52" s="169" t="n"/>
    </row>
    <row r="53">
      <c r="B53" s="187" t="n"/>
      <c r="C53" s="165" t="n"/>
      <c r="D53" s="165" t="n"/>
      <c r="E53" s="169" t="n"/>
      <c r="F53" s="187" t="n"/>
      <c r="G53" s="165" t="n"/>
      <c r="H53" s="169" t="n"/>
      <c r="I53" s="187" t="n"/>
      <c r="J53" s="165" t="n"/>
      <c r="K53" s="165" t="n"/>
      <c r="L53" s="169" t="n"/>
      <c r="M53" s="187" t="n"/>
      <c r="N53" s="165" t="n"/>
      <c r="O53" s="165" t="n"/>
      <c r="P53" s="169" t="n"/>
      <c r="Q53" s="195" t="n"/>
      <c r="R53" s="165" t="n"/>
      <c r="S53" s="165" t="n"/>
      <c r="T53" s="165" t="n"/>
      <c r="U53" s="165" t="n"/>
      <c r="V53" s="165" t="n"/>
      <c r="W53" s="165" t="n"/>
      <c r="X53" s="165" t="n"/>
      <c r="Y53" s="165" t="n"/>
      <c r="Z53" s="165" t="n"/>
      <c r="AA53" s="165" t="n"/>
      <c r="AB53" s="165" t="n"/>
      <c r="AC53" s="165" t="n"/>
      <c r="AD53" s="165" t="n"/>
      <c r="AE53" s="165" t="n"/>
      <c r="AF53" s="165" t="n"/>
      <c r="AG53" s="169" t="n"/>
      <c r="AH53" s="187" t="n"/>
      <c r="AI53" s="165" t="n"/>
      <c r="AJ53" s="165" t="n"/>
      <c r="AK53" s="165" t="n"/>
      <c r="AL53" s="169" t="n"/>
      <c r="AM53" s="187" t="n"/>
      <c r="AN53" s="165" t="n"/>
      <c r="AO53" s="165" t="n"/>
      <c r="AP53" s="169" t="n"/>
      <c r="AQ53" s="197" t="n"/>
      <c r="AR53" s="165" t="n"/>
      <c r="AS53" s="165" t="n"/>
      <c r="AT53" s="165" t="n"/>
      <c r="AU53" s="169" t="n"/>
      <c r="AV53" s="197">
        <f>F53*AQ53</f>
        <v/>
      </c>
      <c r="AW53" s="165" t="n"/>
      <c r="AX53" s="165" t="n"/>
      <c r="AY53" s="165" t="n"/>
      <c r="AZ53" s="165" t="n"/>
      <c r="BA53" s="169" t="n"/>
    </row>
    <row r="54" ht="18" customHeight="1" s="160" thickBot="1">
      <c r="B54" s="199" t="n"/>
      <c r="C54" s="176" t="n"/>
      <c r="D54" s="176" t="n"/>
      <c r="E54" s="177" t="n"/>
      <c r="F54" s="199" t="n"/>
      <c r="G54" s="176" t="n"/>
      <c r="H54" s="177" t="n"/>
      <c r="I54" s="199" t="n"/>
      <c r="J54" s="176" t="n"/>
      <c r="K54" s="176" t="n"/>
      <c r="L54" s="177" t="n"/>
      <c r="M54" s="199" t="n"/>
      <c r="N54" s="176" t="n"/>
      <c r="O54" s="176" t="n"/>
      <c r="P54" s="177" t="n"/>
      <c r="Q54" s="200" t="n"/>
      <c r="R54" s="176" t="n"/>
      <c r="S54" s="176" t="n"/>
      <c r="T54" s="176" t="n"/>
      <c r="U54" s="176" t="n"/>
      <c r="V54" s="176" t="n"/>
      <c r="W54" s="176" t="n"/>
      <c r="X54" s="176" t="n"/>
      <c r="Y54" s="176" t="n"/>
      <c r="Z54" s="176" t="n"/>
      <c r="AA54" s="176" t="n"/>
      <c r="AB54" s="176" t="n"/>
      <c r="AC54" s="176" t="n"/>
      <c r="AD54" s="176" t="n"/>
      <c r="AE54" s="176" t="n"/>
      <c r="AF54" s="176" t="n"/>
      <c r="AG54" s="177" t="n"/>
      <c r="AH54" s="199" t="n"/>
      <c r="AI54" s="176" t="n"/>
      <c r="AJ54" s="176" t="n"/>
      <c r="AK54" s="176" t="n"/>
      <c r="AL54" s="177" t="n"/>
      <c r="AM54" s="199" t="n"/>
      <c r="AN54" s="176" t="n"/>
      <c r="AO54" s="176" t="n"/>
      <c r="AP54" s="177" t="n"/>
      <c r="AQ54" s="201" t="n"/>
      <c r="AR54" s="176" t="n"/>
      <c r="AS54" s="176" t="n"/>
      <c r="AT54" s="176" t="n"/>
      <c r="AU54" s="177" t="n"/>
      <c r="AV54" s="201">
        <f>F54*AQ54</f>
        <v/>
      </c>
      <c r="AW54" s="176" t="n"/>
      <c r="AX54" s="176" t="n"/>
      <c r="AY54" s="176" t="n"/>
      <c r="AZ54" s="176" t="n"/>
      <c r="BA54" s="177" t="n"/>
    </row>
    <row r="55">
      <c r="B55" s="180" t="inlineStr">
        <is>
          <t>Total
Packages
(총 발송물)</t>
        </is>
      </c>
      <c r="C55" s="162" t="n"/>
      <c r="D55" s="162" t="n"/>
      <c r="E55" s="164" t="n"/>
      <c r="F55" s="180" t="inlineStr">
        <is>
          <t>No. of
Units
(총 단위)</t>
        </is>
      </c>
      <c r="G55" s="162" t="n"/>
      <c r="H55" s="164" t="n"/>
      <c r="I55" s="202" t="inlineStr">
        <is>
          <t>Total Net
Weight
(총 순중량)</t>
        </is>
      </c>
      <c r="J55" s="162" t="n"/>
      <c r="K55" s="162" t="n"/>
      <c r="L55" s="162" t="n"/>
      <c r="M55" s="182" t="inlineStr">
        <is>
          <t>(Indicate
LBS/KGS)</t>
        </is>
      </c>
      <c r="N55" s="162" t="n"/>
      <c r="O55" s="162" t="n"/>
      <c r="P55" s="164" t="n"/>
      <c r="Q55" s="202" t="inlineStr">
        <is>
          <t>Total Gross
Weight
(총 중량)</t>
        </is>
      </c>
      <c r="R55" s="162" t="n"/>
      <c r="S55" s="162" t="n"/>
      <c r="T55" s="162" t="n"/>
      <c r="U55" s="182" t="inlineStr">
        <is>
          <t>(Indicate
LBS/KGS)</t>
        </is>
      </c>
      <c r="V55" s="162" t="n"/>
      <c r="W55" s="162" t="n"/>
      <c r="X55" s="164" t="n"/>
      <c r="Y55" s="203" t="inlineStr">
        <is>
          <t>Terms of Sale (판매 조건)</t>
        </is>
      </c>
      <c r="Z55" s="162" t="n"/>
      <c r="AA55" s="162" t="n"/>
      <c r="AB55" s="162" t="n"/>
      <c r="AC55" s="162" t="n"/>
      <c r="AD55" s="162" t="n"/>
      <c r="AE55" s="162" t="n"/>
      <c r="AF55" s="162" t="n"/>
      <c r="AG55" s="162" t="n"/>
      <c r="AH55" s="162" t="n"/>
      <c r="AI55" s="162" t="n"/>
      <c r="AJ55" s="162" t="n"/>
      <c r="AK55" s="162" t="n"/>
      <c r="AL55" s="162" t="n"/>
      <c r="AM55" s="162" t="n"/>
      <c r="AN55" s="162" t="n"/>
      <c r="AO55" s="162" t="n"/>
      <c r="AP55" s="164" t="n"/>
      <c r="AQ55" s="204" t="inlineStr">
        <is>
          <t>Subtotal
(소계)</t>
        </is>
      </c>
      <c r="AR55" s="162" t="n"/>
      <c r="AS55" s="162" t="n"/>
      <c r="AT55" s="162" t="n"/>
      <c r="AU55" s="164" t="n"/>
      <c r="AV55" s="205">
        <f>SUM(AV43:BA54)</f>
        <v/>
      </c>
      <c r="AW55" s="162" t="n"/>
      <c r="AX55" s="162" t="n"/>
      <c r="AY55" s="162" t="n"/>
      <c r="AZ55" s="162" t="n"/>
      <c r="BA55" s="164" t="n"/>
    </row>
    <row r="56">
      <c r="B56" s="183" t="n"/>
      <c r="E56" s="175" t="n"/>
      <c r="F56" s="183" t="n"/>
      <c r="H56" s="175" t="n"/>
      <c r="I56" s="183" t="n"/>
      <c r="P56" s="175" t="n"/>
      <c r="Q56" s="183" t="n"/>
      <c r="X56" s="175" t="n"/>
      <c r="Y56" s="183" t="n"/>
      <c r="AP56" s="175" t="n"/>
      <c r="AU56" s="175" t="n"/>
      <c r="AV56" s="183" t="n"/>
      <c r="BA56" s="175" t="n"/>
    </row>
    <row r="57" ht="18" customHeight="1" s="160" thickBot="1">
      <c r="B57" s="184" t="n"/>
      <c r="C57" s="185" t="n"/>
      <c r="D57" s="185" t="n"/>
      <c r="E57" s="186" t="n"/>
      <c r="F57" s="184" t="n"/>
      <c r="G57" s="185" t="n"/>
      <c r="H57" s="186" t="n"/>
      <c r="I57" s="184" t="n"/>
      <c r="J57" s="185" t="n"/>
      <c r="K57" s="185" t="n"/>
      <c r="L57" s="185" t="n"/>
      <c r="M57" s="185" t="n"/>
      <c r="N57" s="185" t="n"/>
      <c r="O57" s="185" t="n"/>
      <c r="P57" s="186" t="n"/>
      <c r="Q57" s="184" t="n"/>
      <c r="R57" s="185" t="n"/>
      <c r="S57" s="185" t="n"/>
      <c r="T57" s="185" t="n"/>
      <c r="U57" s="185" t="n"/>
      <c r="V57" s="185" t="n"/>
      <c r="W57" s="185" t="n"/>
      <c r="X57" s="186" t="n"/>
      <c r="Y57" s="183" t="n"/>
      <c r="AP57" s="175" t="n"/>
      <c r="AQ57" s="185" t="n"/>
      <c r="AR57" s="185" t="n"/>
      <c r="AS57" s="185" t="n"/>
      <c r="AT57" s="185" t="n"/>
      <c r="AU57" s="186" t="n"/>
      <c r="AV57" s="184" t="n"/>
      <c r="AW57" s="185" t="n"/>
      <c r="AX57" s="185" t="n"/>
      <c r="AY57" s="185" t="n"/>
      <c r="AZ57" s="185" t="n"/>
      <c r="BA57" s="186" t="n"/>
    </row>
    <row r="58" ht="17.4" customHeight="1" s="160">
      <c r="B58" s="206" t="inlineStr">
        <is>
          <t>1PLT</t>
        </is>
      </c>
      <c r="C58" s="162" t="n"/>
      <c r="D58" s="162" t="n"/>
      <c r="E58" s="162" t="n"/>
      <c r="F58" s="207">
        <f>SUM(F43:H54)&amp;IF(RIGHT(B58,3)="PLT","CT","")</f>
        <v/>
      </c>
      <c r="G58" s="162" t="n"/>
      <c r="H58" s="164" t="n"/>
      <c r="I58" s="208" t="n">
        <v>0</v>
      </c>
      <c r="J58" s="162" t="n"/>
      <c r="K58" s="162" t="n"/>
      <c r="L58" s="162" t="n"/>
      <c r="M58" s="162" t="n"/>
      <c r="N58" s="162" t="n"/>
      <c r="O58" s="162" t="n"/>
      <c r="P58" s="164" t="n"/>
      <c r="Q58" s="208" t="n">
        <v>0</v>
      </c>
      <c r="R58" s="162" t="n"/>
      <c r="S58" s="162" t="n"/>
      <c r="T58" s="162" t="n"/>
      <c r="U58" s="162" t="n"/>
      <c r="V58" s="162" t="n"/>
      <c r="W58" s="162" t="n"/>
      <c r="X58" s="164" t="n"/>
      <c r="Y58" s="183" t="n"/>
      <c r="AP58" s="175" t="n"/>
      <c r="AQ58" s="209" t="inlineStr">
        <is>
          <t>Insurance
(보험)</t>
        </is>
      </c>
      <c r="AR58" s="162" t="n"/>
      <c r="AS58" s="162" t="n"/>
      <c r="AT58" s="162" t="n"/>
      <c r="AU58" s="164" t="n"/>
      <c r="AV58" s="205" t="n">
        <v>0</v>
      </c>
      <c r="AW58" s="162" t="n"/>
      <c r="AX58" s="162" t="n"/>
      <c r="AY58" s="162" t="n"/>
      <c r="AZ58" s="162" t="n"/>
      <c r="BA58" s="164" t="n"/>
    </row>
    <row r="59" ht="18" customHeight="1" s="160" thickBot="1">
      <c r="B59" s="184" t="n"/>
      <c r="C59" s="185" t="n"/>
      <c r="D59" s="185" t="n"/>
      <c r="E59" s="185" t="n"/>
      <c r="F59" s="184" t="n"/>
      <c r="G59" s="185" t="n"/>
      <c r="H59" s="186" t="n"/>
      <c r="I59" s="184" t="n"/>
      <c r="J59" s="185" t="n"/>
      <c r="K59" s="185" t="n"/>
      <c r="L59" s="185" t="n"/>
      <c r="M59" s="185" t="n"/>
      <c r="N59" s="185" t="n"/>
      <c r="O59" s="185" t="n"/>
      <c r="P59" s="186" t="n"/>
      <c r="Q59" s="184" t="n"/>
      <c r="R59" s="185" t="n"/>
      <c r="S59" s="185" t="n"/>
      <c r="T59" s="185" t="n"/>
      <c r="U59" s="185" t="n"/>
      <c r="V59" s="185" t="n"/>
      <c r="W59" s="185" t="n"/>
      <c r="X59" s="186" t="n"/>
      <c r="Y59" s="184" t="n"/>
      <c r="Z59" s="185" t="n"/>
      <c r="AA59" s="185" t="n"/>
      <c r="AB59" s="185" t="n"/>
      <c r="AC59" s="185" t="n"/>
      <c r="AD59" s="185" t="n"/>
      <c r="AE59" s="185" t="n"/>
      <c r="AF59" s="185" t="n"/>
      <c r="AG59" s="185" t="n"/>
      <c r="AH59" s="185" t="n"/>
      <c r="AI59" s="185" t="n"/>
      <c r="AJ59" s="185" t="n"/>
      <c r="AK59" s="185" t="n"/>
      <c r="AL59" s="185" t="n"/>
      <c r="AM59" s="185" t="n"/>
      <c r="AN59" s="185" t="n"/>
      <c r="AO59" s="185" t="n"/>
      <c r="AP59" s="186" t="n"/>
      <c r="AQ59" s="184" t="n"/>
      <c r="AR59" s="185" t="n"/>
      <c r="AS59" s="185" t="n"/>
      <c r="AT59" s="185" t="n"/>
      <c r="AU59" s="186" t="n"/>
      <c r="AV59" s="184" t="n"/>
      <c r="AW59" s="185" t="n"/>
      <c r="AX59" s="185" t="n"/>
      <c r="AY59" s="185" t="n"/>
      <c r="AZ59" s="185" t="n"/>
      <c r="BA59" s="186" t="n"/>
    </row>
    <row r="60">
      <c r="B60" s="3" t="inlineStr">
        <is>
          <t>Special Instructions (특별 지시 사항)</t>
        </is>
      </c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  <c r="AE60" s="22" t="n"/>
      <c r="AF60" s="22" t="n"/>
      <c r="AG60" s="22" t="n"/>
      <c r="AH60" s="22" t="n"/>
      <c r="AI60" s="22" t="n"/>
      <c r="AJ60" s="22" t="n"/>
      <c r="AK60" s="22" t="n"/>
      <c r="AL60" s="22" t="n"/>
      <c r="AM60" s="22" t="n"/>
      <c r="AN60" s="22" t="n"/>
      <c r="AO60" s="22" t="n"/>
      <c r="AP60" s="23" t="n"/>
      <c r="AQ60" s="209" t="inlineStr">
        <is>
          <t>Freight
(화물)</t>
        </is>
      </c>
      <c r="AR60" s="162" t="n"/>
      <c r="AS60" s="162" t="n"/>
      <c r="AT60" s="162" t="n"/>
      <c r="AU60" s="164" t="n"/>
      <c r="AV60" s="205" t="n">
        <v>0</v>
      </c>
      <c r="AW60" s="162" t="n"/>
      <c r="AX60" s="162" t="n"/>
      <c r="AY60" s="162" t="n"/>
      <c r="AZ60" s="162" t="n"/>
      <c r="BA60" s="164" t="n"/>
    </row>
    <row r="61" ht="18" customHeight="1" s="160" thickBot="1">
      <c r="B61" s="16" t="n"/>
      <c r="AP61" s="15" t="n"/>
      <c r="AQ61" s="184" t="n"/>
      <c r="AR61" s="185" t="n"/>
      <c r="AS61" s="185" t="n"/>
      <c r="AT61" s="185" t="n"/>
      <c r="AU61" s="186" t="n"/>
      <c r="AV61" s="184" t="n"/>
      <c r="AW61" s="185" t="n"/>
      <c r="AX61" s="185" t="n"/>
      <c r="AY61" s="185" t="n"/>
      <c r="AZ61" s="185" t="n"/>
      <c r="BA61" s="186" t="n"/>
    </row>
    <row r="62" ht="18" customHeight="1" s="160" thickBot="1">
      <c r="B62" s="19" t="n"/>
      <c r="C62" s="20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20" t="n"/>
      <c r="U62" s="20" t="n"/>
      <c r="V62" s="20" t="n"/>
      <c r="W62" s="20" t="n"/>
      <c r="X62" s="20" t="n"/>
      <c r="Y62" s="20" t="n"/>
      <c r="Z62" s="20" t="n"/>
      <c r="AA62" s="20" t="n"/>
      <c r="AB62" s="20" t="n"/>
      <c r="AC62" s="20" t="n"/>
      <c r="AD62" s="20" t="n"/>
      <c r="AE62" s="20" t="n"/>
      <c r="AF62" s="20" t="n"/>
      <c r="AG62" s="20" t="n"/>
      <c r="AH62" s="20" t="n"/>
      <c r="AI62" s="20" t="n"/>
      <c r="AJ62" s="20" t="n"/>
      <c r="AK62" s="20" t="n"/>
      <c r="AL62" s="20" t="n"/>
      <c r="AM62" s="20" t="n"/>
      <c r="AN62" s="20" t="n"/>
      <c r="AO62" s="20" t="n"/>
      <c r="AP62" s="21" t="n"/>
      <c r="AQ62" s="209" t="inlineStr">
        <is>
          <t>Packing
(포장)</t>
        </is>
      </c>
      <c r="AR62" s="162" t="n"/>
      <c r="AS62" s="162" t="n"/>
      <c r="AT62" s="162" t="n"/>
      <c r="AU62" s="164" t="n"/>
      <c r="AV62" s="205" t="n">
        <v>0</v>
      </c>
      <c r="AW62" s="162" t="n"/>
      <c r="AX62" s="162" t="n"/>
      <c r="AY62" s="162" t="n"/>
      <c r="AZ62" s="162" t="n"/>
      <c r="BA62" s="164" t="n"/>
    </row>
    <row r="63" ht="18" customHeight="1" s="160" thickBot="1">
      <c r="B63" s="3" t="inlineStr">
        <is>
          <t>Declaration Statement(s) (신고서)</t>
        </is>
      </c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  <c r="AM63" s="22" t="n"/>
      <c r="AN63" s="22" t="n"/>
      <c r="AO63" s="22" t="n"/>
      <c r="AP63" s="23" t="n"/>
      <c r="AQ63" s="184" t="n"/>
      <c r="AR63" s="185" t="n"/>
      <c r="AS63" s="185" t="n"/>
      <c r="AT63" s="185" t="n"/>
      <c r="AU63" s="186" t="n"/>
      <c r="AV63" s="184" t="n"/>
      <c r="AW63" s="185" t="n"/>
      <c r="AX63" s="185" t="n"/>
      <c r="AY63" s="185" t="n"/>
      <c r="AZ63" s="185" t="n"/>
      <c r="BA63" s="186" t="n"/>
    </row>
    <row r="64">
      <c r="B64" s="16" t="n"/>
      <c r="AP64" s="15" t="n"/>
      <c r="AQ64" s="204" t="inlineStr">
        <is>
          <t>Handling
(처리 수수료)</t>
        </is>
      </c>
      <c r="AR64" s="162" t="n"/>
      <c r="AS64" s="162" t="n"/>
      <c r="AT64" s="162" t="n"/>
      <c r="AU64" s="164" t="n"/>
      <c r="AV64" s="205" t="n">
        <v>0</v>
      </c>
      <c r="AW64" s="162" t="n"/>
      <c r="AX64" s="162" t="n"/>
      <c r="AY64" s="162" t="n"/>
      <c r="AZ64" s="162" t="n"/>
      <c r="BA64" s="164" t="n"/>
    </row>
    <row r="65" ht="18" customHeight="1" s="160" thickBot="1">
      <c r="B65" s="16" t="n"/>
      <c r="AP65" s="15" t="n"/>
      <c r="AQ65" s="185" t="n"/>
      <c r="AR65" s="185" t="n"/>
      <c r="AS65" s="185" t="n"/>
      <c r="AT65" s="185" t="n"/>
      <c r="AU65" s="186" t="n"/>
      <c r="AV65" s="184" t="n"/>
      <c r="AW65" s="185" t="n"/>
      <c r="AX65" s="185" t="n"/>
      <c r="AY65" s="185" t="n"/>
      <c r="AZ65" s="185" t="n"/>
      <c r="BA65" s="186" t="n"/>
    </row>
    <row r="66" ht="18" customHeight="1" s="160" thickBot="1">
      <c r="B66" s="19" t="n"/>
      <c r="C66" s="20" t="n"/>
      <c r="D66" s="20" t="n"/>
      <c r="E66" s="20" t="n"/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20" t="n"/>
      <c r="P66" s="20" t="n"/>
      <c r="Q66" s="20" t="n"/>
      <c r="R66" s="20" t="n"/>
      <c r="S66" s="20" t="n"/>
      <c r="T66" s="20" t="n"/>
      <c r="U66" s="20" t="n"/>
      <c r="V66" s="20" t="n"/>
      <c r="W66" s="20" t="n"/>
      <c r="X66" s="20" t="n"/>
      <c r="Y66" s="20" t="n"/>
      <c r="Z66" s="20" t="n"/>
      <c r="AA66" s="20" t="n"/>
      <c r="AB66" s="20" t="n"/>
      <c r="AC66" s="20" t="n"/>
      <c r="AD66" s="20" t="n"/>
      <c r="AE66" s="20" t="n"/>
      <c r="AF66" s="20" t="n"/>
      <c r="AG66" s="20" t="n"/>
      <c r="AH66" s="20" t="n"/>
      <c r="AI66" s="20" t="n"/>
      <c r="AJ66" s="20" t="n"/>
      <c r="AK66" s="20" t="n"/>
      <c r="AL66" s="20" t="n"/>
      <c r="AM66" s="20" t="n"/>
      <c r="AN66" s="20" t="n"/>
      <c r="AO66" s="20" t="n"/>
      <c r="AP66" s="21" t="n"/>
      <c r="AQ66" s="210" t="inlineStr">
        <is>
          <t>Other (기타)</t>
        </is>
      </c>
      <c r="AR66" s="162" t="n"/>
      <c r="AS66" s="162" t="n"/>
      <c r="AT66" s="162" t="n"/>
      <c r="AU66" s="162" t="n"/>
      <c r="AV66" s="205" t="n">
        <v>0</v>
      </c>
      <c r="AW66" s="162" t="n"/>
      <c r="AX66" s="162" t="n"/>
      <c r="AY66" s="162" t="n"/>
      <c r="AZ66" s="162" t="n"/>
      <c r="BA66" s="164" t="n"/>
    </row>
    <row r="67">
      <c r="B67" s="3" t="inlineStr">
        <is>
          <t>I declare that all the information contained in this invoice to be true and correct</t>
        </is>
      </c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  <c r="AE67" s="22" t="n"/>
      <c r="AF67" s="22" t="n"/>
      <c r="AG67" s="22" t="n"/>
      <c r="AH67" s="22" t="n"/>
      <c r="AI67" s="22" t="n"/>
      <c r="AJ67" s="22" t="n"/>
      <c r="AK67" s="22" t="n"/>
      <c r="AL67" s="22" t="n"/>
      <c r="AM67" s="22" t="n"/>
      <c r="AN67" s="22" t="n"/>
      <c r="AO67" s="22" t="n"/>
      <c r="AP67" s="23" t="n"/>
      <c r="AQ67" s="183" t="n"/>
      <c r="AV67" s="183" t="n"/>
      <c r="BA67" s="175" t="n"/>
    </row>
    <row r="68" ht="18" customHeight="1" s="160" thickBot="1">
      <c r="B68" s="2" t="inlineStr">
        <is>
          <t>(본 송장에 포함된 모든 정보는 사실이며 정확함을 증명합니다)</t>
        </is>
      </c>
      <c r="AP68" s="15" t="n"/>
      <c r="AQ68" s="184" t="n"/>
      <c r="AR68" s="185" t="n"/>
      <c r="AS68" s="185" t="n"/>
      <c r="AT68" s="185" t="n"/>
      <c r="AU68" s="185" t="n"/>
      <c r="AV68" s="184" t="n"/>
      <c r="AW68" s="185" t="n"/>
      <c r="AX68" s="185" t="n"/>
      <c r="AY68" s="185" t="n"/>
      <c r="AZ68" s="185" t="n"/>
      <c r="BA68" s="186" t="n"/>
    </row>
    <row r="69" ht="18" customHeight="1" s="160" thickBot="1">
      <c r="B69" s="19" t="n"/>
      <c r="C69" s="20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20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 t="n"/>
      <c r="Y69" s="20" t="n"/>
      <c r="Z69" s="20" t="n"/>
      <c r="AA69" s="20" t="n"/>
      <c r="AB69" s="20" t="n"/>
      <c r="AC69" s="20" t="n"/>
      <c r="AD69" s="20" t="n"/>
      <c r="AE69" s="20" t="n"/>
      <c r="AF69" s="20" t="n"/>
      <c r="AG69" s="20" t="n"/>
      <c r="AH69" s="20" t="n"/>
      <c r="AI69" s="20" t="n"/>
      <c r="AJ69" s="20" t="n"/>
      <c r="AK69" s="20" t="n"/>
      <c r="AL69" s="20" t="n"/>
      <c r="AM69" s="20" t="n"/>
      <c r="AN69" s="20" t="n"/>
      <c r="AO69" s="20" t="n"/>
      <c r="AP69" s="21" t="n"/>
      <c r="AQ69" s="204" t="inlineStr">
        <is>
          <t>Invoice Total
(총 송장 가격)</t>
        </is>
      </c>
      <c r="AR69" s="162" t="n"/>
      <c r="AS69" s="162" t="n"/>
      <c r="AT69" s="162" t="n"/>
      <c r="AU69" s="164" t="n"/>
      <c r="AV69" s="205">
        <f>SUM(AV55:BA68)</f>
        <v/>
      </c>
      <c r="AW69" s="162" t="n"/>
      <c r="AX69" s="162" t="n"/>
      <c r="AY69" s="162" t="n"/>
      <c r="AZ69" s="162" t="n"/>
      <c r="BA69" s="164" t="n"/>
    </row>
    <row r="70" ht="18" customHeight="1" s="160" thickBot="1">
      <c r="B70" s="3" t="inlineStr">
        <is>
          <t>Originator or Name of Company Representative if the invoice is being completed on behalf of a company or indivitual</t>
        </is>
      </c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n"/>
      <c r="AE70" s="22" t="n"/>
      <c r="AF70" s="22" t="n"/>
      <c r="AG70" s="22" t="n"/>
      <c r="AH70" s="22" t="n"/>
      <c r="AI70" s="22" t="n"/>
      <c r="AJ70" s="22" t="n"/>
      <c r="AK70" s="22" t="n"/>
      <c r="AL70" s="22" t="n"/>
      <c r="AM70" s="22" t="n"/>
      <c r="AN70" s="22" t="n"/>
      <c r="AO70" s="22" t="n"/>
      <c r="AP70" s="23" t="n"/>
      <c r="AQ70" s="185" t="n"/>
      <c r="AR70" s="185" t="n"/>
      <c r="AS70" s="185" t="n"/>
      <c r="AT70" s="185" t="n"/>
      <c r="AU70" s="186" t="n"/>
      <c r="AV70" s="184" t="n"/>
      <c r="AW70" s="185" t="n"/>
      <c r="AX70" s="185" t="n"/>
      <c r="AY70" s="185" t="n"/>
      <c r="AZ70" s="185" t="n"/>
      <c r="BA70" s="186" t="n"/>
    </row>
    <row r="71">
      <c r="B71" s="2" t="inlineStr">
        <is>
          <t>(회사 또는 개인을 대신하여 송장을 작성중인 경우, 발행인 또는 회사 대리인의 이름)</t>
        </is>
      </c>
      <c r="AP71" s="15" t="n"/>
      <c r="AQ71" s="209" t="inlineStr">
        <is>
          <t>Currency Code
(통화 코드)</t>
        </is>
      </c>
      <c r="AR71" s="162" t="n"/>
      <c r="AS71" s="162" t="n"/>
      <c r="AT71" s="162" t="n"/>
      <c r="AU71" s="164" t="n"/>
      <c r="AV71" s="211" t="inlineStr">
        <is>
          <t>JPY</t>
        </is>
      </c>
      <c r="AW71" s="162" t="n"/>
      <c r="AX71" s="162" t="n"/>
      <c r="AY71" s="162" t="n"/>
      <c r="AZ71" s="162" t="n"/>
      <c r="BA71" s="164" t="n"/>
    </row>
    <row r="72" ht="18" customHeight="1" s="160" thickBot="1">
      <c r="B72" s="29" t="inlineStr">
        <is>
          <t>Sung Gwan Kwon</t>
        </is>
      </c>
      <c r="C72" s="20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20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 t="n"/>
      <c r="Y72" s="20" t="n"/>
      <c r="Z72" s="20" t="n"/>
      <c r="AA72" s="20" t="n"/>
      <c r="AB72" s="20" t="n"/>
      <c r="AC72" s="20" t="n"/>
      <c r="AD72" s="20" t="n"/>
      <c r="AE72" s="20" t="n"/>
      <c r="AF72" s="20" t="n"/>
      <c r="AG72" s="20" t="n"/>
      <c r="AH72" s="20" t="n"/>
      <c r="AI72" s="20" t="n"/>
      <c r="AJ72" s="20" t="n"/>
      <c r="AK72" s="20" t="n"/>
      <c r="AL72" s="20" t="n"/>
      <c r="AM72" s="20" t="n"/>
      <c r="AN72" s="20" t="n"/>
      <c r="AO72" s="20" t="n"/>
      <c r="AP72" s="21" t="n"/>
      <c r="AQ72" s="184" t="n"/>
      <c r="AR72" s="185" t="n"/>
      <c r="AS72" s="185" t="n"/>
      <c r="AT72" s="185" t="n"/>
      <c r="AU72" s="186" t="n"/>
      <c r="AV72" s="184" t="n"/>
      <c r="AW72" s="185" t="n"/>
      <c r="AX72" s="185" t="n"/>
      <c r="AY72" s="185" t="n"/>
      <c r="AZ72" s="185" t="n"/>
      <c r="BA72" s="186" t="n"/>
    </row>
    <row r="73">
      <c r="B73" s="3" t="inlineStr">
        <is>
          <t>Signature / Title / Date</t>
        </is>
      </c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  <c r="AE73" s="22" t="n"/>
      <c r="AF73" s="22" t="n"/>
      <c r="AG73" s="22" t="n"/>
      <c r="AH73" s="22" t="n"/>
      <c r="AI73" s="22" t="n"/>
      <c r="AJ73" s="22" t="n"/>
      <c r="AK73" s="22" t="n"/>
      <c r="AL73" s="22" t="n"/>
      <c r="AM73" s="22" t="n"/>
      <c r="AN73" s="22" t="n"/>
      <c r="AO73" s="22" t="n"/>
      <c r="AP73" s="22" t="n"/>
      <c r="AQ73" s="22" t="n"/>
      <c r="AR73" s="22" t="n"/>
      <c r="AS73" s="22" t="n"/>
      <c r="AT73" s="22" t="n"/>
      <c r="AU73" s="22" t="n"/>
      <c r="AV73" s="22" t="n"/>
      <c r="AW73" s="22" t="n"/>
      <c r="AX73" s="22" t="n"/>
      <c r="AY73" s="22" t="n"/>
      <c r="AZ73" s="22" t="n"/>
      <c r="BA73" s="23" t="n"/>
    </row>
    <row r="74">
      <c r="B74" s="2" t="inlineStr">
        <is>
          <t>(서명/직책/날짜)</t>
        </is>
      </c>
      <c r="AV74" s="212">
        <f>AO5</f>
        <v/>
      </c>
      <c r="BA74" s="175" t="n"/>
    </row>
    <row r="75" ht="18" customHeight="1" s="160" thickBot="1">
      <c r="B75" s="19" t="n"/>
      <c r="C75" s="20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20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 t="n"/>
      <c r="Y75" s="20" t="n"/>
      <c r="Z75" s="20" t="n"/>
      <c r="AA75" s="20" t="n"/>
      <c r="AB75" s="20" t="n"/>
      <c r="AC75" s="20" t="n"/>
      <c r="AD75" s="20" t="n"/>
      <c r="AE75" s="20" t="n"/>
      <c r="AF75" s="20" t="n"/>
      <c r="AG75" s="20" t="n"/>
      <c r="AH75" s="20" t="n"/>
      <c r="AI75" s="20" t="n"/>
      <c r="AJ75" s="20" t="n"/>
      <c r="AK75" s="20" t="n"/>
      <c r="AL75" s="20" t="n"/>
      <c r="AM75" s="20" t="n"/>
      <c r="AN75" s="20" t="n"/>
      <c r="AO75" s="20" t="n"/>
      <c r="AP75" s="20" t="n"/>
      <c r="AQ75" s="20" t="n"/>
      <c r="AR75" s="20" t="n"/>
      <c r="AS75" s="20" t="n"/>
      <c r="AT75" s="20" t="n"/>
      <c r="AU75" s="20" t="n"/>
      <c r="AV75" s="20" t="n"/>
      <c r="AW75" s="20" t="n"/>
      <c r="AX75" s="20" t="n"/>
      <c r="AY75" s="20" t="n"/>
      <c r="AZ75" s="20" t="n"/>
      <c r="BA75" s="21" t="n"/>
    </row>
    <row r="76">
      <c r="AV76" s="1" t="inlineStr">
        <is>
          <t>REV.22.07.26.-1.00</t>
        </is>
      </c>
    </row>
  </sheetData>
  <mergeCells count="196">
    <mergeCell ref="AV51:BA51"/>
    <mergeCell ref="AO5:BA5"/>
    <mergeCell ref="AH47:AL47"/>
    <mergeCell ref="I48:L48"/>
    <mergeCell ref="AV64:BA65"/>
    <mergeCell ref="F58:H59"/>
    <mergeCell ref="B40:E42"/>
    <mergeCell ref="F45:H45"/>
    <mergeCell ref="Q43:AG43"/>
    <mergeCell ref="AM50:AP50"/>
    <mergeCell ref="U55:X57"/>
    <mergeCell ref="I58:P59"/>
    <mergeCell ref="B58:E59"/>
    <mergeCell ref="F47:H47"/>
    <mergeCell ref="B45:E45"/>
    <mergeCell ref="O14:AA14"/>
    <mergeCell ref="B5:N5"/>
    <mergeCell ref="AQ69:AU70"/>
    <mergeCell ref="AB28:AN28"/>
    <mergeCell ref="O23:AA23"/>
    <mergeCell ref="M43:P43"/>
    <mergeCell ref="AQ46:AU46"/>
    <mergeCell ref="O7:AA7"/>
    <mergeCell ref="AV71:BA72"/>
    <mergeCell ref="B47:E47"/>
    <mergeCell ref="AH50:AL50"/>
    <mergeCell ref="AV40:BA42"/>
    <mergeCell ref="B22:N22"/>
    <mergeCell ref="AB5:AN5"/>
    <mergeCell ref="AG36:AZ36"/>
    <mergeCell ref="AB14:AN14"/>
    <mergeCell ref="AV49:BA49"/>
    <mergeCell ref="AM43:AP43"/>
    <mergeCell ref="B21:N21"/>
    <mergeCell ref="AH49:AL49"/>
    <mergeCell ref="Q44:AG44"/>
    <mergeCell ref="M54:P54"/>
    <mergeCell ref="B39:N39"/>
    <mergeCell ref="Q46:AG46"/>
    <mergeCell ref="B14:N14"/>
    <mergeCell ref="B23:N23"/>
    <mergeCell ref="I53:L53"/>
    <mergeCell ref="AM40:AP42"/>
    <mergeCell ref="AV55:BA57"/>
    <mergeCell ref="Q48:AG48"/>
    <mergeCell ref="F40:H42"/>
    <mergeCell ref="Q45:AG45"/>
    <mergeCell ref="AQ40:AU42"/>
    <mergeCell ref="F51:H51"/>
    <mergeCell ref="M45:P45"/>
    <mergeCell ref="I52:L52"/>
    <mergeCell ref="B49:E49"/>
    <mergeCell ref="AO10:BA10"/>
    <mergeCell ref="I44:L44"/>
    <mergeCell ref="Q47:AG47"/>
    <mergeCell ref="F50:H50"/>
    <mergeCell ref="Y55:AP59"/>
    <mergeCell ref="AB8:AN8"/>
    <mergeCell ref="M47:P47"/>
    <mergeCell ref="AQ58:AU59"/>
    <mergeCell ref="B51:E51"/>
    <mergeCell ref="AO9:BA9"/>
    <mergeCell ref="AB6:BA6"/>
    <mergeCell ref="AQ51:AU51"/>
    <mergeCell ref="AB10:AN10"/>
    <mergeCell ref="B50:E50"/>
    <mergeCell ref="AQ53:AU53"/>
    <mergeCell ref="AQ60:AU61"/>
    <mergeCell ref="AV53:BA53"/>
    <mergeCell ref="AV44:BA44"/>
    <mergeCell ref="AQ50:AU50"/>
    <mergeCell ref="AH43:AL43"/>
    <mergeCell ref="Q51:AG51"/>
    <mergeCell ref="I46:L46"/>
    <mergeCell ref="AV62:BA63"/>
    <mergeCell ref="AQ66:AU68"/>
    <mergeCell ref="M44:P44"/>
    <mergeCell ref="M55:P57"/>
    <mergeCell ref="AQ43:AU43"/>
    <mergeCell ref="AM46:AP46"/>
    <mergeCell ref="AQ52:AU52"/>
    <mergeCell ref="Q50:AG50"/>
    <mergeCell ref="F49:H49"/>
    <mergeCell ref="AO28:BA28"/>
    <mergeCell ref="AV45:BA45"/>
    <mergeCell ref="AV54:BA54"/>
    <mergeCell ref="M51:P51"/>
    <mergeCell ref="I54:L54"/>
    <mergeCell ref="Q55:T57"/>
    <mergeCell ref="AM48:AP48"/>
    <mergeCell ref="O38:BA38"/>
    <mergeCell ref="Q49:AG49"/>
    <mergeCell ref="B53:E53"/>
    <mergeCell ref="AB22:AN22"/>
    <mergeCell ref="AO14:BA14"/>
    <mergeCell ref="I43:L43"/>
    <mergeCell ref="M40:P42"/>
    <mergeCell ref="B2:BA2"/>
    <mergeCell ref="AQ62:AU63"/>
    <mergeCell ref="B38:N38"/>
    <mergeCell ref="AM45:AP45"/>
    <mergeCell ref="AQ71:AU72"/>
    <mergeCell ref="AM54:AP54"/>
    <mergeCell ref="AV60:BA61"/>
    <mergeCell ref="AQ64:AU65"/>
    <mergeCell ref="AV43:BA43"/>
    <mergeCell ref="O39:BA39"/>
    <mergeCell ref="B55:E57"/>
    <mergeCell ref="AQ54:AU54"/>
    <mergeCell ref="B15:N15"/>
    <mergeCell ref="O8:AA8"/>
    <mergeCell ref="B24:N24"/>
    <mergeCell ref="AH52:AL52"/>
    <mergeCell ref="M53:P53"/>
    <mergeCell ref="M50:P50"/>
    <mergeCell ref="Q54:AG54"/>
    <mergeCell ref="AM51:AP51"/>
    <mergeCell ref="B54:E54"/>
    <mergeCell ref="F43:H43"/>
    <mergeCell ref="F52:H52"/>
    <mergeCell ref="AO8:BA8"/>
    <mergeCell ref="AM53:AP53"/>
    <mergeCell ref="B7:N7"/>
    <mergeCell ref="AB24:AN24"/>
    <mergeCell ref="AM47:AP47"/>
    <mergeCell ref="AH44:AL44"/>
    <mergeCell ref="AO11:BA11"/>
    <mergeCell ref="I45:L45"/>
    <mergeCell ref="O28:AA28"/>
    <mergeCell ref="M49:P49"/>
    <mergeCell ref="O9:AA9"/>
    <mergeCell ref="M48:P48"/>
    <mergeCell ref="B43:E43"/>
    <mergeCell ref="B52:E52"/>
    <mergeCell ref="AR3:AT3"/>
    <mergeCell ref="I47:L47"/>
    <mergeCell ref="AH51:AL51"/>
    <mergeCell ref="F53:H53"/>
    <mergeCell ref="F44:H44"/>
    <mergeCell ref="AH40:AL42"/>
    <mergeCell ref="AM44:AP44"/>
    <mergeCell ref="AX3:AY3"/>
    <mergeCell ref="AB9:AN9"/>
    <mergeCell ref="AH54:AL54"/>
    <mergeCell ref="B44:E44"/>
    <mergeCell ref="O22:AA22"/>
    <mergeCell ref="Q58:X59"/>
    <mergeCell ref="AV47:BA47"/>
    <mergeCell ref="AQ44:AU44"/>
    <mergeCell ref="AB7:BA7"/>
    <mergeCell ref="I55:L57"/>
    <mergeCell ref="B19:N19"/>
    <mergeCell ref="AB11:AN11"/>
    <mergeCell ref="B28:N28"/>
    <mergeCell ref="O21:AA21"/>
    <mergeCell ref="F55:H57"/>
    <mergeCell ref="B9:N9"/>
    <mergeCell ref="Q53:AG53"/>
    <mergeCell ref="I51:L51"/>
    <mergeCell ref="AV48:BA48"/>
    <mergeCell ref="AQ45:AU45"/>
    <mergeCell ref="B6:N6"/>
    <mergeCell ref="B20:N20"/>
    <mergeCell ref="AQ55:AU57"/>
    <mergeCell ref="I50:L50"/>
    <mergeCell ref="Q52:AG52"/>
    <mergeCell ref="AH53:AL53"/>
    <mergeCell ref="F46:H46"/>
    <mergeCell ref="AQ47:AU47"/>
    <mergeCell ref="I40:L42"/>
    <mergeCell ref="F48:H48"/>
    <mergeCell ref="AV74:BA74"/>
    <mergeCell ref="I49:L49"/>
    <mergeCell ref="B46:E46"/>
    <mergeCell ref="AB15:AN15"/>
    <mergeCell ref="M52:P52"/>
    <mergeCell ref="AH48:AL48"/>
    <mergeCell ref="AV58:BA59"/>
    <mergeCell ref="B48:E48"/>
    <mergeCell ref="AH46:AL46"/>
    <mergeCell ref="AQ48:AU48"/>
    <mergeCell ref="F54:H54"/>
    <mergeCell ref="AV69:BA70"/>
    <mergeCell ref="AM52:AP52"/>
    <mergeCell ref="AV50:BA50"/>
    <mergeCell ref="Q40:AG42"/>
    <mergeCell ref="AM49:AP49"/>
    <mergeCell ref="AU3:AV3"/>
    <mergeCell ref="B8:N8"/>
    <mergeCell ref="AV46:BA46"/>
    <mergeCell ref="AV66:BA68"/>
    <mergeCell ref="AH45:AL45"/>
    <mergeCell ref="M46:P46"/>
    <mergeCell ref="AV52:BA52"/>
    <mergeCell ref="AQ49:AU49"/>
    <mergeCell ref="B10:N10"/>
  </mergeCells>
  <hyperlinks>
    <hyperlink xmlns:r="http://schemas.openxmlformats.org/officeDocument/2006/relationships" ref="O9" r:id="rId1"/>
    <hyperlink xmlns:r="http://schemas.openxmlformats.org/officeDocument/2006/relationships" ref="O23" r:id="rId2"/>
  </hyperlink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55"/>
  <drawing xmlns:r="http://schemas.openxmlformats.org/officeDocument/2006/relationships" r:id="rId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H10:J11"/>
  <sheetViews>
    <sheetView workbookViewId="0">
      <selection activeCell="L10" sqref="L10"/>
    </sheetView>
  </sheetViews>
  <sheetFormatPr baseColWidth="8" defaultRowHeight="17.4"/>
  <sheetData>
    <row r="10">
      <c r="H10" s="0">
        <f>7.4+5.7</f>
        <v/>
      </c>
      <c r="J10" s="0">
        <f>7.4/H11</f>
        <v/>
      </c>
    </row>
    <row r="11">
      <c r="H11" s="0">
        <f>H10/31</f>
        <v/>
      </c>
      <c r="J11" s="0">
        <f>5.7/H11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코바테크0001</dc:creator>
  <dcterms:created xsi:type="dcterms:W3CDTF">2022-07-25T10:25:36Z</dcterms:created>
  <dcterms:modified xsi:type="dcterms:W3CDTF">2026-03-22T14:14:54Z</dcterms:modified>
  <cp:lastModifiedBy>성관 권</cp:lastModifiedBy>
  <cp:lastPrinted>2025-01-03T02:32:19Z</cp:lastPrinted>
</cp:coreProperties>
</file>