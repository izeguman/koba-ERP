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2105b643ae5ad902/Product_Management_System/app/templete/"/>
    </mc:Choice>
  </mc:AlternateContent>
  <xr:revisionPtr revIDLastSave="164" documentId="8_{F89B40D2-D955-4EBF-958F-69C4469780AC}" xr6:coauthVersionLast="47" xr6:coauthVersionMax="47" xr10:uidLastSave="{0711128C-2C21-43C2-9E87-674D1EFE18FD}"/>
  <bookViews>
    <workbookView xWindow="-36060" yWindow="3885" windowWidth="24540" windowHeight="22575" xr2:uid="{00000000-000D-0000-FFFF-FFFF00000000}"/>
  </bookViews>
  <sheets>
    <sheet name="발주서" sheetId="1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3" i="1" l="1"/>
  <c r="I22" i="1"/>
  <c r="I21" i="1"/>
  <c r="I20" i="1"/>
  <c r="I19" i="1"/>
  <c r="I18" i="1"/>
  <c r="I17" i="1"/>
  <c r="I15" i="1"/>
  <c r="I16" i="1"/>
  <c r="O15" i="2" l="1"/>
  <c r="M15" i="2"/>
  <c r="J15" i="2"/>
  <c r="I14" i="2"/>
  <c r="H14" i="2"/>
  <c r="H15" i="2" s="1"/>
  <c r="K17" i="2" s="1"/>
  <c r="T10" i="2" l="1"/>
  <c r="S15" i="2"/>
  <c r="R15" i="2"/>
  <c r="Q15" i="2"/>
  <c r="P15" i="2"/>
  <c r="G7" i="2"/>
  <c r="F8" i="2" s="1"/>
  <c r="G8" i="2" s="1"/>
  <c r="F9" i="2" s="1"/>
  <c r="G9" i="2" s="1"/>
  <c r="F10" i="2" s="1"/>
  <c r="G10" i="2" s="1"/>
  <c r="L10" i="2"/>
  <c r="K11" i="2" s="1"/>
  <c r="L11" i="2" s="1"/>
  <c r="K12" i="2" s="1"/>
  <c r="P16" i="2" l="1"/>
  <c r="L12" i="2"/>
  <c r="K13" i="2" s="1"/>
  <c r="L13" i="2" s="1"/>
  <c r="K14" i="2" s="1"/>
  <c r="L14" i="2" s="1"/>
  <c r="F11" i="2"/>
  <c r="G11" i="2" s="1"/>
  <c r="F12" i="2" s="1"/>
  <c r="H16" i="2"/>
  <c r="Q18" i="2" l="1"/>
  <c r="G12" i="2"/>
  <c r="F13" i="2" s="1"/>
  <c r="G13" i="2" s="1"/>
  <c r="F14" i="2" s="1"/>
  <c r="G14" i="2" s="1"/>
  <c r="F24" i="1"/>
  <c r="I24" i="1" l="1"/>
  <c r="K24" i="1" l="1"/>
  <c r="C13" i="1"/>
  <c r="F13" i="1" s="1"/>
</calcChain>
</file>

<file path=xl/sharedStrings.xml><?xml version="1.0" encoding="utf-8"?>
<sst xmlns="http://schemas.openxmlformats.org/spreadsheetml/2006/main" count="80" uniqueCount="68">
  <si>
    <t>참고사항</t>
    <phoneticPr fontId="2" type="noConversion"/>
  </si>
  <si>
    <t>계</t>
    <phoneticPr fontId="2" type="noConversion"/>
  </si>
  <si>
    <t>(VAT 포함)</t>
    <phoneticPr fontId="2" type="noConversion"/>
  </si>
  <si>
    <t>비고</t>
    <phoneticPr fontId="2" type="noConversion"/>
  </si>
  <si>
    <t>금액</t>
    <phoneticPr fontId="2" type="noConversion"/>
  </si>
  <si>
    <t>단가</t>
    <phoneticPr fontId="2" type="noConversion"/>
  </si>
  <si>
    <t>수량</t>
    <phoneticPr fontId="2" type="noConversion"/>
  </si>
  <si>
    <t>단위</t>
    <phoneticPr fontId="2" type="noConversion"/>
  </si>
  <si>
    <t>NO</t>
    <phoneticPr fontId="2" type="noConversion"/>
  </si>
  <si>
    <t>발주금액
(VAT별도)</t>
    <phoneticPr fontId="2" type="noConversion"/>
  </si>
  <si>
    <t>아래와 같이 발주합니다.</t>
    <phoneticPr fontId="2" type="noConversion"/>
  </si>
  <si>
    <t>이메일</t>
    <phoneticPr fontId="2" type="noConversion"/>
  </si>
  <si>
    <t>담당자</t>
    <phoneticPr fontId="2" type="noConversion"/>
  </si>
  <si>
    <t>팩스번호</t>
    <phoneticPr fontId="2" type="noConversion"/>
  </si>
  <si>
    <t>전화번호</t>
    <phoneticPr fontId="2" type="noConversion"/>
  </si>
  <si>
    <t>주소</t>
    <phoneticPr fontId="2" type="noConversion"/>
  </si>
  <si>
    <t>등록번호</t>
    <phoneticPr fontId="2" type="noConversion"/>
  </si>
  <si>
    <t>상호</t>
    <phoneticPr fontId="2" type="noConversion"/>
  </si>
  <si>
    <t>공급처</t>
    <phoneticPr fontId="2" type="noConversion"/>
  </si>
  <si>
    <t>발주처</t>
    <phoneticPr fontId="2" type="noConversion"/>
  </si>
  <si>
    <t>발주번호</t>
    <phoneticPr fontId="2" type="noConversion"/>
  </si>
  <si>
    <t>발주일자</t>
    <phoneticPr fontId="2" type="noConversion"/>
  </si>
  <si>
    <t>Project명</t>
    <phoneticPr fontId="2" type="noConversion"/>
  </si>
  <si>
    <t>Project NO</t>
    <phoneticPr fontId="2" type="noConversion"/>
  </si>
  <si>
    <t>발 주 서</t>
    <phoneticPr fontId="2" type="noConversion"/>
  </si>
  <si>
    <t>코바테크 주식회사</t>
    <phoneticPr fontId="2" type="noConversion"/>
  </si>
  <si>
    <t>312-86-43871</t>
    <phoneticPr fontId="2" type="noConversion"/>
  </si>
  <si>
    <t>권성관 대표</t>
    <phoneticPr fontId="2" type="noConversion"/>
  </si>
  <si>
    <t xml:space="preserve"> -. 납  기  일  자 :</t>
    <phoneticPr fontId="2" type="noConversion"/>
  </si>
  <si>
    <t xml:space="preserve"> -. 대금 지불조건 :</t>
    <phoneticPr fontId="2" type="noConversion"/>
  </si>
  <si>
    <t xml:space="preserve"> -. 납  품  장  소 :</t>
    <phoneticPr fontId="2" type="noConversion"/>
  </si>
  <si>
    <t xml:space="preserve"> -. 특  기  사  항 :</t>
    <phoneticPr fontId="2" type="noConversion"/>
  </si>
  <si>
    <t xml:space="preserve"> -. 세 금 계 산 서 :</t>
    <phoneticPr fontId="1" type="noConversion"/>
  </si>
  <si>
    <t>구기덕</t>
    <phoneticPr fontId="8" type="noConversion"/>
  </si>
  <si>
    <t>국내</t>
    <phoneticPr fontId="8" type="noConversion"/>
  </si>
  <si>
    <t>해외</t>
    <phoneticPr fontId="8" type="noConversion"/>
  </si>
  <si>
    <t>천동욱</t>
    <phoneticPr fontId="8" type="noConversion"/>
  </si>
  <si>
    <t>인건비</t>
    <phoneticPr fontId="8" type="noConversion"/>
  </si>
  <si>
    <t>출장비</t>
    <phoneticPr fontId="8" type="noConversion"/>
  </si>
  <si>
    <t>기간</t>
    <phoneticPr fontId="8" type="noConversion"/>
  </si>
  <si>
    <t>강봉현 출장비</t>
    <phoneticPr fontId="8" type="noConversion"/>
  </si>
  <si>
    <t>A급 외주</t>
    <phoneticPr fontId="8" type="noConversion"/>
  </si>
  <si>
    <t>B급 외주1</t>
    <phoneticPr fontId="8" type="noConversion"/>
  </si>
  <si>
    <t>B급 외주2</t>
  </si>
  <si>
    <t>항공료</t>
    <phoneticPr fontId="8" type="noConversion"/>
  </si>
  <si>
    <t>ULVAC-Phi向 Controller 제작의 건</t>
    <phoneticPr fontId="1" type="noConversion"/>
  </si>
  <si>
    <t>010-3267-8636</t>
    <phoneticPr fontId="2" type="noConversion"/>
  </si>
  <si>
    <t>0504-089-1836</t>
    <phoneticPr fontId="2" type="noConversion"/>
  </si>
  <si>
    <t>031-444-5337</t>
    <phoneticPr fontId="1" type="noConversion"/>
  </si>
  <si>
    <t>031-444-5332/010-6372-0479</t>
    <phoneticPr fontId="1" type="noConversion"/>
  </si>
  <si>
    <t>김영진 대표</t>
    <phoneticPr fontId="1" type="noConversion"/>
  </si>
  <si>
    <t>kyjjshqwer@hanmail.net</t>
    <phoneticPr fontId="1" type="noConversion"/>
  </si>
  <si>
    <t>충남 천안시 서북구 신월소우길, 324-40</t>
    <phoneticPr fontId="2" type="noConversion"/>
  </si>
  <si>
    <t>공급처 과실로 인한 제품의 하자 발생시, 조치를 위한 제반비용은 공급처 부담으로 한다</t>
    <phoneticPr fontId="1" type="noConversion"/>
  </si>
  <si>
    <t>1. 발주서 사본 1 Copy</t>
    <phoneticPr fontId="1" type="noConversion"/>
  </si>
  <si>
    <t>2. 사업자등록증 1 Copy</t>
    <phoneticPr fontId="1" type="noConversion"/>
  </si>
  <si>
    <t>3. 통장사본 1 Copy</t>
    <phoneticPr fontId="1" type="noConversion"/>
  </si>
  <si>
    <t>4. 검사성적서 1 Copy</t>
    <phoneticPr fontId="1" type="noConversion"/>
  </si>
  <si>
    <t>품명/규격</t>
    <phoneticPr fontId="1" type="noConversion"/>
  </si>
  <si>
    <t>품목 코드</t>
    <phoneticPr fontId="2" type="noConversion"/>
  </si>
  <si>
    <t>Rev.</t>
    <phoneticPr fontId="1" type="noConversion"/>
  </si>
  <si>
    <t>위드에프 주식회사</t>
    <phoneticPr fontId="1" type="noConversion"/>
  </si>
  <si>
    <t>471-87-03122</t>
    <phoneticPr fontId="1" type="noConversion"/>
  </si>
  <si>
    <t>경기 안양시 동안구 흥안대로 427번길 57-2
1508호(평촌동, 평촌역 아이에스비즈타워)</t>
    <phoneticPr fontId="1" type="noConversion"/>
  </si>
  <si>
    <t>권성관 대표 (izeguman@gmail.com)</t>
    <phoneticPr fontId="1" type="noConversion"/>
  </si>
  <si>
    <t>EA</t>
  </si>
  <si>
    <r>
      <t xml:space="preserve">① 계약금 50% : 계산서 발행 후 익월 말 현금 결재
② 잔  금 50% : 최종 고객사인 ULVAC-PHI 대금 입금 확인 후, 즉시 현금 결재
</t>
    </r>
    <r>
      <rPr>
        <sz val="10"/>
        <color theme="1"/>
        <rFont val="맑은 고딕"/>
        <family val="3"/>
        <charset val="129"/>
      </rPr>
      <t xml:space="preserve">
※ 납기가 정해지지 않은 제품의 결재 처리
-. 납기가 정해진 제품의 최종 출하 이후, 납기가 정해지지 않은 제품은 검사를 실시하여 양품임이 확인되면 발주처와 협의 후 결재한다.</t>
    </r>
    <phoneticPr fontId="1" type="noConversion"/>
  </si>
  <si>
    <t>kobatech@kobatech.co.kr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</si>
</sst>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2" formatCode="_-&quot;₩&quot;* #,##0_-;\-&quot;₩&quot;* #,##0_-;_-&quot;₩&quot;* &quot;-&quot;_-;_-@_-"/>
    <numFmt numFmtId="41" formatCode="_-* #,##0_-;\-* #,##0_-;_-* &quot;-&quot;_-;_-@_-"/>
  </numFmts>
  <fonts count="10" x14ac:knownFonts="1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8"/>
      <name val="맑은 고딕"/>
      <family val="3"/>
      <charset val="129"/>
    </font>
    <font>
      <u/>
      <sz val="11"/>
      <color theme="10"/>
      <name val="맑은 고딕"/>
      <family val="3"/>
      <charset val="129"/>
    </font>
    <font>
      <sz val="10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b/>
      <u/>
      <sz val="20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sz val="10"/>
      <color theme="1"/>
      <name val="맑은 고딕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50">
    <border>
      <left/>
      <right/>
      <top/>
      <bottom/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 style="thin">
        <color indexed="64"/>
      </right>
      <top style="medium">
        <color indexed="64"/>
      </top>
      <bottom/>
      <diagonal/>
    </border>
    <border>
      <left style="hair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</borders>
  <cellStyleXfs count="3">
    <xf numFmtId="0" fontId="0" fillId="0" borderId="0">
      <alignment vertical="center"/>
    </xf>
    <xf numFmtId="0" fontId="3" fillId="0" borderId="0" applyNumberFormat="0" applyFill="0" applyBorder="0" applyAlignment="0" applyProtection="0">
      <alignment vertical="top"/>
      <protection locked="0"/>
    </xf>
    <xf numFmtId="41" fontId="7" fillId="0" borderId="0" applyFont="0" applyFill="0" applyBorder="0" applyAlignment="0" applyProtection="0">
      <alignment vertical="center"/>
    </xf>
  </cellStyleXfs>
  <cellXfs count="89">
    <xf numFmtId="0" fontId="0" fillId="0" borderId="0" xfId="0">
      <alignment vertical="center"/>
    </xf>
    <xf numFmtId="0" fontId="4" fillId="0" borderId="0" xfId="0" applyFont="1" applyAlignment="1">
      <alignment horizontal="center" vertical="center"/>
    </xf>
    <xf numFmtId="42" fontId="5" fillId="2" borderId="1" xfId="0" applyNumberFormat="1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3" borderId="12" xfId="0" applyFont="1" applyFill="1" applyBorder="1" applyAlignment="1">
      <alignment horizontal="center" vertical="center"/>
    </xf>
    <xf numFmtId="0" fontId="4" fillId="3" borderId="13" xfId="0" applyFont="1" applyFill="1" applyBorder="1" applyAlignment="1">
      <alignment horizontal="center" vertical="center"/>
    </xf>
    <xf numFmtId="0" fontId="4" fillId="3" borderId="14" xfId="0" applyFont="1" applyFill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14" fontId="0" fillId="0" borderId="0" xfId="0" applyNumberFormat="1">
      <alignment vertical="center"/>
    </xf>
    <xf numFmtId="41" fontId="0" fillId="0" borderId="0" xfId="2" applyFont="1" applyAlignment="1">
      <alignment horizontal="center" vertical="center"/>
    </xf>
    <xf numFmtId="41" fontId="0" fillId="0" borderId="0" xfId="2" applyFont="1">
      <alignment vertical="center"/>
    </xf>
    <xf numFmtId="41" fontId="0" fillId="0" borderId="0" xfId="2" applyFont="1" applyAlignment="1">
      <alignment vertical="center"/>
    </xf>
    <xf numFmtId="0" fontId="4" fillId="0" borderId="7" xfId="0" applyFont="1" applyBorder="1">
      <alignment vertical="center"/>
    </xf>
    <xf numFmtId="0" fontId="4" fillId="3" borderId="43" xfId="0" applyFont="1" applyFill="1" applyBorder="1" applyAlignment="1">
      <alignment horizontal="center" vertical="center"/>
    </xf>
    <xf numFmtId="0" fontId="4" fillId="0" borderId="44" xfId="0" applyFont="1" applyBorder="1" applyAlignment="1">
      <alignment horizontal="center" vertical="center" wrapText="1"/>
    </xf>
    <xf numFmtId="0" fontId="4" fillId="0" borderId="45" xfId="0" applyFont="1" applyBorder="1" applyAlignment="1">
      <alignment horizontal="center" vertical="center"/>
    </xf>
    <xf numFmtId="0" fontId="4" fillId="0" borderId="44" xfId="0" applyFont="1" applyBorder="1">
      <alignment vertical="center"/>
    </xf>
    <xf numFmtId="0" fontId="4" fillId="0" borderId="46" xfId="0" applyFont="1" applyBorder="1" applyAlignment="1">
      <alignment horizontal="center" vertical="center" wrapText="1"/>
    </xf>
    <xf numFmtId="0" fontId="4" fillId="0" borderId="47" xfId="0" applyFont="1" applyBorder="1" applyAlignment="1">
      <alignment horizontal="center" vertical="center"/>
    </xf>
    <xf numFmtId="0" fontId="4" fillId="0" borderId="46" xfId="0" applyFont="1" applyBorder="1">
      <alignment vertical="center"/>
    </xf>
    <xf numFmtId="0" fontId="4" fillId="0" borderId="7" xfId="0" applyFont="1" applyBorder="1" applyAlignment="1">
      <alignment horizontal="center" vertical="center" wrapText="1"/>
    </xf>
    <xf numFmtId="0" fontId="4" fillId="0" borderId="41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 wrapText="1"/>
    </xf>
    <xf numFmtId="0" fontId="4" fillId="0" borderId="48" xfId="0" applyFont="1" applyBorder="1" applyAlignment="1">
      <alignment horizontal="center" vertical="center"/>
    </xf>
    <xf numFmtId="0" fontId="4" fillId="0" borderId="4" xfId="0" applyFont="1" applyBorder="1">
      <alignment vertical="center"/>
    </xf>
    <xf numFmtId="0" fontId="4" fillId="0" borderId="38" xfId="0" applyFont="1" applyBorder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4" fillId="0" borderId="29" xfId="0" applyFont="1" applyBorder="1" applyAlignment="1">
      <alignment horizontal="left" vertical="center"/>
    </xf>
    <xf numFmtId="0" fontId="4" fillId="0" borderId="30" xfId="0" applyFont="1" applyBorder="1" applyAlignment="1">
      <alignment horizontal="left" vertical="center"/>
    </xf>
    <xf numFmtId="0" fontId="4" fillId="0" borderId="31" xfId="0" applyFont="1" applyBorder="1" applyAlignment="1">
      <alignment horizontal="left" vertical="center"/>
    </xf>
    <xf numFmtId="0" fontId="4" fillId="0" borderId="42" xfId="0" applyFont="1" applyBorder="1" applyAlignment="1">
      <alignment horizontal="left" vertical="center"/>
    </xf>
    <xf numFmtId="0" fontId="4" fillId="0" borderId="32" xfId="0" applyFont="1" applyBorder="1" applyAlignment="1">
      <alignment horizontal="left" vertical="center"/>
    </xf>
    <xf numFmtId="0" fontId="4" fillId="0" borderId="40" xfId="0" applyFont="1" applyBorder="1" applyAlignment="1">
      <alignment horizontal="left" vertical="center"/>
    </xf>
    <xf numFmtId="0" fontId="5" fillId="2" borderId="27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42" fontId="5" fillId="2" borderId="2" xfId="0" applyNumberFormat="1" applyFont="1" applyFill="1" applyBorder="1" applyAlignment="1">
      <alignment horizontal="center" vertical="center"/>
    </xf>
    <xf numFmtId="0" fontId="4" fillId="0" borderId="14" xfId="0" applyFont="1" applyBorder="1" applyAlignment="1">
      <alignment horizontal="center" vertical="center" textRotation="255"/>
    </xf>
    <xf numFmtId="0" fontId="4" fillId="0" borderId="49" xfId="0" applyFont="1" applyBorder="1" applyAlignment="1">
      <alignment horizontal="center" vertical="center" textRotation="255"/>
    </xf>
    <xf numFmtId="0" fontId="4" fillId="0" borderId="33" xfId="0" applyFont="1" applyBorder="1" applyAlignment="1">
      <alignment horizontal="center" vertical="center" textRotation="255"/>
    </xf>
    <xf numFmtId="0" fontId="4" fillId="0" borderId="34" xfId="0" applyFont="1" applyBorder="1" applyAlignment="1">
      <alignment horizontal="left" vertical="center"/>
    </xf>
    <xf numFmtId="0" fontId="4" fillId="0" borderId="35" xfId="0" applyFont="1" applyBorder="1" applyAlignment="1">
      <alignment horizontal="left" vertical="center"/>
    </xf>
    <xf numFmtId="0" fontId="4" fillId="0" borderId="36" xfId="0" applyFont="1" applyBorder="1" applyAlignment="1">
      <alignment horizontal="left" vertical="center"/>
    </xf>
    <xf numFmtId="0" fontId="4" fillId="0" borderId="37" xfId="0" applyFont="1" applyBorder="1" applyAlignment="1">
      <alignment horizontal="left" vertical="center"/>
    </xf>
    <xf numFmtId="0" fontId="4" fillId="0" borderId="38" xfId="0" applyFont="1" applyBorder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4" fillId="0" borderId="39" xfId="0" applyFont="1" applyBorder="1" applyAlignment="1">
      <alignment horizontal="left" vertical="center"/>
    </xf>
    <xf numFmtId="42" fontId="4" fillId="0" borderId="7" xfId="0" applyNumberFormat="1" applyFont="1" applyBorder="1" applyAlignment="1">
      <alignment horizontal="center" vertical="center"/>
    </xf>
    <xf numFmtId="0" fontId="4" fillId="0" borderId="29" xfId="0" applyFont="1" applyBorder="1" applyAlignment="1">
      <alignment horizontal="left" vertical="center" wrapText="1"/>
    </xf>
    <xf numFmtId="42" fontId="4" fillId="0" borderId="4" xfId="0" applyNumberFormat="1" applyFont="1" applyBorder="1" applyAlignment="1">
      <alignment horizontal="center" vertical="center"/>
    </xf>
    <xf numFmtId="42" fontId="4" fillId="0" borderId="10" xfId="0" applyNumberFormat="1" applyFont="1" applyBorder="1" applyAlignment="1">
      <alignment horizontal="center" vertical="center"/>
    </xf>
    <xf numFmtId="0" fontId="5" fillId="2" borderId="25" xfId="0" applyFont="1" applyFill="1" applyBorder="1" applyAlignment="1">
      <alignment horizontal="center" vertical="center" wrapText="1"/>
    </xf>
    <xf numFmtId="0" fontId="5" fillId="2" borderId="26" xfId="0" applyFont="1" applyFill="1" applyBorder="1" applyAlignment="1">
      <alignment horizontal="center" vertical="center"/>
    </xf>
    <xf numFmtId="42" fontId="5" fillId="2" borderId="1" xfId="0" applyNumberFormat="1" applyFont="1" applyFill="1" applyBorder="1" applyAlignment="1">
      <alignment horizontal="center" vertical="center"/>
    </xf>
    <xf numFmtId="0" fontId="5" fillId="2" borderId="25" xfId="0" applyFont="1" applyFill="1" applyBorder="1" applyAlignment="1">
      <alignment horizontal="center" vertical="center"/>
    </xf>
    <xf numFmtId="0" fontId="5" fillId="2" borderId="28" xfId="0" applyFont="1" applyFill="1" applyBorder="1" applyAlignment="1">
      <alignment horizontal="center" vertical="center"/>
    </xf>
    <xf numFmtId="0" fontId="4" fillId="3" borderId="13" xfId="0" applyFont="1" applyFill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3" fillId="0" borderId="22" xfId="1" applyBorder="1" applyAlignment="1" applyProtection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4" fillId="0" borderId="22" xfId="0" applyFont="1" applyBorder="1" applyAlignment="1">
      <alignment horizontal="center" vertical="center"/>
    </xf>
    <xf numFmtId="0" fontId="4" fillId="0" borderId="23" xfId="0" applyFont="1" applyBorder="1" applyAlignment="1">
      <alignment horizontal="center" vertical="center"/>
    </xf>
    <xf numFmtId="0" fontId="4" fillId="0" borderId="24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31" fontId="4" fillId="0" borderId="17" xfId="0" applyNumberFormat="1" applyFont="1" applyBorder="1" applyAlignment="1">
      <alignment horizontal="center" vertical="center"/>
    </xf>
    <xf numFmtId="0" fontId="4" fillId="0" borderId="20" xfId="0" applyFont="1" applyBorder="1" applyAlignment="1">
      <alignment horizontal="center" vertical="center"/>
    </xf>
    <xf numFmtId="0" fontId="4" fillId="0" borderId="21" xfId="0" applyFont="1" applyBorder="1" applyAlignment="1">
      <alignment horizontal="center" vertical="center" textRotation="255"/>
    </xf>
    <xf numFmtId="0" fontId="4" fillId="0" borderId="10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 shrinkToFit="1"/>
    </xf>
    <xf numFmtId="0" fontId="4" fillId="0" borderId="6" xfId="0" applyFont="1" applyBorder="1" applyAlignment="1">
      <alignment horizontal="center" vertical="center" shrinkToFit="1"/>
    </xf>
    <xf numFmtId="0" fontId="4" fillId="0" borderId="7" xfId="0" applyFont="1" applyBorder="1" applyAlignment="1">
      <alignment horizontal="center" vertical="center" wrapText="1" shrinkToFit="1"/>
    </xf>
    <xf numFmtId="0" fontId="6" fillId="0" borderId="0" xfId="0" applyFont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19" xfId="0" applyFont="1" applyBorder="1" applyAlignment="1">
      <alignment horizontal="center" vertical="center"/>
    </xf>
    <xf numFmtId="41" fontId="0" fillId="0" borderId="0" xfId="2" applyFont="1" applyAlignment="1">
      <alignment horizontal="center" vertical="center"/>
    </xf>
    <xf numFmtId="0" fontId="0" fillId="0" borderId="0" xfId="0" applyAlignment="1">
      <alignment horizontal="center" vertical="center"/>
    </xf>
  </cellXfs>
  <cellStyles count="3">
    <cellStyle name="쉼표 [0]" xfId="2" builtinId="6"/>
    <cellStyle name="표준" xfId="0" builtinId="0"/>
    <cellStyle name="하이퍼링크" xfId="1" builtinId="8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2457450</xdr:colOff>
      <xdr:row>37</xdr:row>
      <xdr:rowOff>57151</xdr:rowOff>
    </xdr:from>
    <xdr:to>
      <xdr:col>5</xdr:col>
      <xdr:colOff>238125</xdr:colOff>
      <xdr:row>38</xdr:row>
      <xdr:rowOff>274264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82EF8483-6041-46B9-9D85-3C38BC3CF3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200525" y="10801351"/>
          <a:ext cx="1190625" cy="531438"/>
        </a:xfrm>
        <a:prstGeom prst="rect">
          <a:avLst/>
        </a:prstGeom>
      </xdr:spPr>
    </xdr:pic>
    <xdr:clientData/>
  </xdr:twoCellAnchor>
  <xdr:twoCellAnchor editAs="oneCell">
    <xdr:from>
      <xdr:col>3</xdr:col>
      <xdr:colOff>2390775</xdr:colOff>
      <xdr:row>8</xdr:row>
      <xdr:rowOff>133350</xdr:rowOff>
    </xdr:from>
    <xdr:to>
      <xdr:col>4</xdr:col>
      <xdr:colOff>314325</xdr:colOff>
      <xdr:row>10</xdr:row>
      <xdr:rowOff>180975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DF220506-3156-73D4-2409-759A95D343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33850" y="2600325"/>
          <a:ext cx="742950" cy="742950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kyjjshqwer@hanmail.net" TargetMode="External"/><Relationship Id="rId1" Type="http://schemas.openxmlformats.org/officeDocument/2006/relationships/hyperlink" Target="mailto:kobatech@kobatech.co.kr" TargetMode="External"/><Relationship Id="rId4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37"/>
  <sheetViews>
    <sheetView showGridLines="0" tabSelected="1" view="pageBreakPreview" zoomScaleNormal="100" zoomScaleSheetLayoutView="100" workbookViewId="0">
      <selection activeCell="D17" sqref="D17"/>
    </sheetView>
  </sheetViews>
  <sheetFormatPr defaultColWidth="9" defaultRowHeight="24.95" customHeight="1" x14ac:dyDescent="0.3"/>
  <cols>
    <col min="1" max="1" width="4.625" style="1" customWidth="1"/>
    <col min="2" max="2" width="13" style="1" customWidth="1"/>
    <col min="3" max="3" width="5.25" style="1" customWidth="1"/>
    <col min="4" max="4" width="37" style="1" customWidth="1"/>
    <col min="5" max="5" width="7.75" style="1" customWidth="1"/>
    <col min="6" max="6" width="4.75" style="1" customWidth="1"/>
    <col min="7" max="7" width="13.125" style="1" customWidth="1"/>
    <col min="8" max="8" width="3.75" style="1" customWidth="1"/>
    <col min="9" max="9" width="12.875" style="1" customWidth="1"/>
    <col min="10" max="10" width="4.75" style="1" customWidth="1"/>
    <col min="11" max="11" width="16.875" style="1" customWidth="1"/>
    <col min="12" max="16384" width="9" style="1"/>
  </cols>
  <sheetData>
    <row r="1" spans="1:11" ht="24.95" customHeight="1" x14ac:dyDescent="0.3">
      <c r="A1" s="84" t="s">
        <v>24</v>
      </c>
      <c r="B1" s="84"/>
      <c r="C1" s="84"/>
      <c r="D1" s="84"/>
      <c r="E1" s="84"/>
      <c r="F1" s="84"/>
      <c r="G1" s="84"/>
      <c r="H1" s="84"/>
      <c r="I1" s="84"/>
      <c r="J1" s="84"/>
      <c r="K1" s="84"/>
    </row>
    <row r="2" spans="1:11" ht="11.45" customHeight="1" x14ac:dyDescent="0.3">
      <c r="A2" s="17"/>
      <c r="B2" s="17"/>
      <c r="C2" s="17"/>
      <c r="D2" s="17"/>
      <c r="E2" s="17"/>
      <c r="F2" s="17"/>
      <c r="G2" s="17"/>
      <c r="H2" s="17"/>
      <c r="I2" s="17"/>
      <c r="J2" s="17"/>
      <c r="K2" s="17"/>
    </row>
    <row r="3" spans="1:11" ht="24.95" customHeight="1" x14ac:dyDescent="0.3">
      <c r="A3" s="74" t="s">
        <v>23</v>
      </c>
      <c r="B3" s="75"/>
      <c r="C3" s="85"/>
      <c r="D3" s="85"/>
      <c r="E3" s="85"/>
      <c r="F3" s="74" t="s">
        <v>22</v>
      </c>
      <c r="G3" s="75"/>
      <c r="H3" s="85" t="s">
        <v>45</v>
      </c>
      <c r="I3" s="85"/>
      <c r="J3" s="85"/>
      <c r="K3" s="86"/>
    </row>
    <row r="4" spans="1:11" ht="24.95" customHeight="1" x14ac:dyDescent="0.3">
      <c r="A4" s="74" t="s">
        <v>21</v>
      </c>
      <c r="B4" s="75"/>
      <c r="C4" s="76"/>
      <c r="D4" s="75"/>
      <c r="E4" s="75"/>
      <c r="F4" s="74" t="s">
        <v>20</v>
      </c>
      <c r="G4" s="75"/>
      <c r="H4" s="75"/>
      <c r="I4" s="75"/>
      <c r="J4" s="75"/>
      <c r="K4" s="77"/>
    </row>
    <row r="5" spans="1:11" ht="24.95" customHeight="1" x14ac:dyDescent="0.3">
      <c r="A5" s="78" t="s">
        <v>19</v>
      </c>
      <c r="B5" s="12" t="s">
        <v>17</v>
      </c>
      <c r="C5" s="79" t="s">
        <v>25</v>
      </c>
      <c r="D5" s="79"/>
      <c r="E5" s="80"/>
      <c r="F5" s="78" t="s">
        <v>18</v>
      </c>
      <c r="G5" s="12" t="s">
        <v>17</v>
      </c>
      <c r="H5" s="79" t="s">
        <v>61</v>
      </c>
      <c r="I5" s="79"/>
      <c r="J5" s="79"/>
      <c r="K5" s="80"/>
    </row>
    <row r="6" spans="1:11" ht="24.95" customHeight="1" x14ac:dyDescent="0.3">
      <c r="A6" s="78"/>
      <c r="B6" s="9" t="s">
        <v>16</v>
      </c>
      <c r="C6" s="66" t="s">
        <v>26</v>
      </c>
      <c r="D6" s="66"/>
      <c r="E6" s="67"/>
      <c r="F6" s="78"/>
      <c r="G6" s="9" t="s">
        <v>16</v>
      </c>
      <c r="H6" s="66" t="s">
        <v>62</v>
      </c>
      <c r="I6" s="66"/>
      <c r="J6" s="66"/>
      <c r="K6" s="67"/>
    </row>
    <row r="7" spans="1:11" ht="34.5" customHeight="1" x14ac:dyDescent="0.3">
      <c r="A7" s="78"/>
      <c r="B7" s="9" t="s">
        <v>15</v>
      </c>
      <c r="C7" s="81" t="s">
        <v>52</v>
      </c>
      <c r="D7" s="81"/>
      <c r="E7" s="82"/>
      <c r="F7" s="78"/>
      <c r="G7" s="9" t="s">
        <v>15</v>
      </c>
      <c r="H7" s="83" t="s">
        <v>63</v>
      </c>
      <c r="I7" s="81"/>
      <c r="J7" s="81"/>
      <c r="K7" s="82"/>
    </row>
    <row r="8" spans="1:11" ht="24.95" customHeight="1" x14ac:dyDescent="0.3">
      <c r="A8" s="78"/>
      <c r="B8" s="9" t="s">
        <v>14</v>
      </c>
      <c r="C8" s="66" t="s">
        <v>46</v>
      </c>
      <c r="D8" s="66"/>
      <c r="E8" s="67"/>
      <c r="F8" s="78"/>
      <c r="G8" s="9" t="s">
        <v>14</v>
      </c>
      <c r="H8" s="66" t="s">
        <v>49</v>
      </c>
      <c r="I8" s="66"/>
      <c r="J8" s="66"/>
      <c r="K8" s="67"/>
    </row>
    <row r="9" spans="1:11" ht="24.95" customHeight="1" x14ac:dyDescent="0.3">
      <c r="A9" s="78"/>
      <c r="B9" s="9" t="s">
        <v>13</v>
      </c>
      <c r="C9" s="66" t="s">
        <v>47</v>
      </c>
      <c r="D9" s="66"/>
      <c r="E9" s="67"/>
      <c r="F9" s="78"/>
      <c r="G9" s="9" t="s">
        <v>13</v>
      </c>
      <c r="H9" s="66" t="s">
        <v>48</v>
      </c>
      <c r="I9" s="66"/>
      <c r="J9" s="66"/>
      <c r="K9" s="67"/>
    </row>
    <row r="10" spans="1:11" ht="30" customHeight="1" x14ac:dyDescent="0.3">
      <c r="A10" s="78"/>
      <c r="B10" s="9" t="s">
        <v>12</v>
      </c>
      <c r="C10" s="66" t="s">
        <v>27</v>
      </c>
      <c r="D10" s="66"/>
      <c r="E10" s="67"/>
      <c r="F10" s="78"/>
      <c r="G10" s="9" t="s">
        <v>12</v>
      </c>
      <c r="H10" s="66" t="s">
        <v>50</v>
      </c>
      <c r="I10" s="66"/>
      <c r="J10" s="66"/>
      <c r="K10" s="67"/>
    </row>
    <row r="11" spans="1:11" ht="24.95" customHeight="1" x14ac:dyDescent="0.3">
      <c r="A11" s="78"/>
      <c r="B11" s="16" t="s">
        <v>11</v>
      </c>
      <c r="C11" s="68" t="s">
        <v>67</v>
      </c>
      <c r="D11" s="69"/>
      <c r="E11" s="70"/>
      <c r="F11" s="78"/>
      <c r="G11" s="16" t="s">
        <v>11</v>
      </c>
      <c r="H11" s="68" t="s">
        <v>51</v>
      </c>
      <c r="I11" s="71"/>
      <c r="J11" s="71"/>
      <c r="K11" s="72"/>
    </row>
    <row r="12" spans="1:11" ht="24.95" customHeight="1" thickBot="1" x14ac:dyDescent="0.35">
      <c r="A12" s="73" t="s">
        <v>10</v>
      </c>
      <c r="B12" s="73"/>
      <c r="C12" s="73"/>
      <c r="D12" s="73"/>
      <c r="E12" s="73"/>
      <c r="F12" s="73"/>
      <c r="G12" s="73"/>
      <c r="H12" s="73"/>
      <c r="I12" s="73"/>
      <c r="J12" s="73"/>
      <c r="K12" s="73"/>
    </row>
    <row r="13" spans="1:11" ht="39.950000000000003" customHeight="1" thickBot="1" x14ac:dyDescent="0.35">
      <c r="A13" s="60" t="s">
        <v>9</v>
      </c>
      <c r="B13" s="61"/>
      <c r="C13" s="62">
        <f>I24</f>
        <v>32493000</v>
      </c>
      <c r="D13" s="63"/>
      <c r="E13" s="43"/>
      <c r="F13" s="64" t="str">
        <f>"일금"&amp;NUMBERSTRING(C13,1)&amp;"원정"</f>
        <v>일금삼천이백사십구만삼천원정</v>
      </c>
      <c r="G13" s="63"/>
      <c r="H13" s="63"/>
      <c r="I13" s="63"/>
      <c r="J13" s="63"/>
      <c r="K13" s="63"/>
    </row>
    <row r="14" spans="1:11" ht="24.95" customHeight="1" x14ac:dyDescent="0.3">
      <c r="A14" s="15" t="s">
        <v>8</v>
      </c>
      <c r="B14" s="14" t="s">
        <v>59</v>
      </c>
      <c r="C14" s="14" t="s">
        <v>60</v>
      </c>
      <c r="D14" s="23" t="s">
        <v>58</v>
      </c>
      <c r="E14" s="14" t="s">
        <v>7</v>
      </c>
      <c r="F14" s="14" t="s">
        <v>6</v>
      </c>
      <c r="G14" s="65" t="s">
        <v>5</v>
      </c>
      <c r="H14" s="65"/>
      <c r="I14" s="65" t="s">
        <v>4</v>
      </c>
      <c r="J14" s="65"/>
      <c r="K14" s="13" t="s">
        <v>3</v>
      </c>
    </row>
    <row r="15" spans="1:11" ht="24.95" customHeight="1" x14ac:dyDescent="0.3">
      <c r="A15" s="12"/>
      <c r="B15" s="24"/>
      <c r="C15" s="25"/>
      <c r="D15" s="26"/>
      <c r="E15" s="11" t="s">
        <v>65</v>
      </c>
      <c r="F15" s="11">
        <v>10</v>
      </c>
      <c r="G15" s="59">
        <v>3249333</v>
      </c>
      <c r="H15" s="59"/>
      <c r="I15" s="59">
        <f>ROUNDDOWN((+F15*G15),-3)</f>
        <v>32493000</v>
      </c>
      <c r="J15" s="59"/>
      <c r="K15" s="10"/>
    </row>
    <row r="16" spans="1:11" ht="24.95" customHeight="1" x14ac:dyDescent="0.3">
      <c r="A16" s="9"/>
      <c r="B16" s="32"/>
      <c r="C16" s="33"/>
      <c r="D16" s="34"/>
      <c r="E16" s="8"/>
      <c r="F16" s="8"/>
      <c r="G16" s="56"/>
      <c r="H16" s="56"/>
      <c r="I16" s="56">
        <f>ROUNDDOWN((+F16*G16),-3)</f>
        <v>0</v>
      </c>
      <c r="J16" s="56"/>
      <c r="K16" s="7"/>
    </row>
    <row r="17" spans="1:11" ht="24.95" customHeight="1" x14ac:dyDescent="0.3">
      <c r="A17" s="9"/>
      <c r="B17" s="30"/>
      <c r="C17" s="31"/>
      <c r="D17" s="22"/>
      <c r="E17" s="8"/>
      <c r="F17" s="8"/>
      <c r="G17" s="56"/>
      <c r="H17" s="56"/>
      <c r="I17" s="56">
        <f t="shared" ref="I17:I23" si="0">ROUNDDOWN((+F17*G17),-3)</f>
        <v>0</v>
      </c>
      <c r="J17" s="56"/>
      <c r="K17" s="7"/>
    </row>
    <row r="18" spans="1:11" ht="24.95" customHeight="1" x14ac:dyDescent="0.3">
      <c r="A18" s="9"/>
      <c r="B18" s="30"/>
      <c r="C18" s="31"/>
      <c r="D18" s="22"/>
      <c r="E18" s="8"/>
      <c r="F18" s="8"/>
      <c r="G18" s="56"/>
      <c r="H18" s="56"/>
      <c r="I18" s="56">
        <f t="shared" si="0"/>
        <v>0</v>
      </c>
      <c r="J18" s="56"/>
      <c r="K18" s="7"/>
    </row>
    <row r="19" spans="1:11" ht="24.95" customHeight="1" x14ac:dyDescent="0.3">
      <c r="A19" s="9"/>
      <c r="B19" s="30"/>
      <c r="C19" s="31"/>
      <c r="D19" s="22"/>
      <c r="E19" s="8"/>
      <c r="F19" s="8"/>
      <c r="G19" s="56"/>
      <c r="H19" s="56"/>
      <c r="I19" s="56">
        <f t="shared" si="0"/>
        <v>0</v>
      </c>
      <c r="J19" s="56"/>
      <c r="K19" s="7"/>
    </row>
    <row r="20" spans="1:11" ht="24.95" customHeight="1" x14ac:dyDescent="0.3">
      <c r="A20" s="9"/>
      <c r="B20" s="30"/>
      <c r="C20" s="31"/>
      <c r="D20" s="22"/>
      <c r="E20" s="8"/>
      <c r="F20" s="8"/>
      <c r="G20" s="56"/>
      <c r="H20" s="56"/>
      <c r="I20" s="56">
        <f t="shared" si="0"/>
        <v>0</v>
      </c>
      <c r="J20" s="56"/>
      <c r="K20" s="7"/>
    </row>
    <row r="21" spans="1:11" ht="24.95" customHeight="1" x14ac:dyDescent="0.3">
      <c r="A21" s="9"/>
      <c r="B21" s="30"/>
      <c r="C21" s="31"/>
      <c r="D21" s="22"/>
      <c r="E21" s="8"/>
      <c r="F21" s="8"/>
      <c r="G21" s="56"/>
      <c r="H21" s="56"/>
      <c r="I21" s="56">
        <f t="shared" si="0"/>
        <v>0</v>
      </c>
      <c r="J21" s="56"/>
      <c r="K21" s="7"/>
    </row>
    <row r="22" spans="1:11" ht="24.95" customHeight="1" x14ac:dyDescent="0.3">
      <c r="A22" s="9"/>
      <c r="B22" s="27"/>
      <c r="C22" s="28"/>
      <c r="D22" s="29"/>
      <c r="E22" s="8"/>
      <c r="F22" s="8"/>
      <c r="G22" s="56"/>
      <c r="H22" s="56"/>
      <c r="I22" s="56">
        <f t="shared" si="0"/>
        <v>0</v>
      </c>
      <c r="J22" s="56"/>
      <c r="K22" s="7"/>
    </row>
    <row r="23" spans="1:11" ht="24.95" customHeight="1" thickBot="1" x14ac:dyDescent="0.35">
      <c r="A23" s="6"/>
      <c r="B23" s="27"/>
      <c r="C23" s="28"/>
      <c r="D23" s="29"/>
      <c r="E23" s="5"/>
      <c r="F23" s="5"/>
      <c r="G23" s="58"/>
      <c r="H23" s="58"/>
      <c r="I23" s="58">
        <f t="shared" si="0"/>
        <v>0</v>
      </c>
      <c r="J23" s="58"/>
      <c r="K23" s="4" t="s">
        <v>2</v>
      </c>
    </row>
    <row r="24" spans="1:11" ht="26.1" customHeight="1" thickBot="1" x14ac:dyDescent="0.35">
      <c r="A24" s="43" t="s">
        <v>1</v>
      </c>
      <c r="B24" s="44"/>
      <c r="C24" s="44"/>
      <c r="D24" s="44"/>
      <c r="E24" s="44"/>
      <c r="F24" s="3">
        <f>SUM(F15:F23)</f>
        <v>10</v>
      </c>
      <c r="G24" s="44"/>
      <c r="H24" s="44"/>
      <c r="I24" s="45">
        <f>SUM(I15:J23)</f>
        <v>32493000</v>
      </c>
      <c r="J24" s="45"/>
      <c r="K24" s="2">
        <f>(I24*1.1)</f>
        <v>35742300</v>
      </c>
    </row>
    <row r="25" spans="1:11" ht="20.100000000000001" customHeight="1" x14ac:dyDescent="0.3">
      <c r="A25" s="46" t="s">
        <v>0</v>
      </c>
      <c r="B25" s="49" t="s">
        <v>28</v>
      </c>
      <c r="C25" s="49"/>
      <c r="D25" s="50"/>
      <c r="E25" s="51"/>
      <c r="F25" s="51"/>
      <c r="G25" s="51"/>
      <c r="H25" s="51"/>
      <c r="I25" s="51"/>
      <c r="J25" s="51"/>
      <c r="K25" s="52"/>
    </row>
    <row r="26" spans="1:11" ht="20.100000000000001" customHeight="1" x14ac:dyDescent="0.3">
      <c r="A26" s="47"/>
      <c r="B26" s="35"/>
      <c r="C26" s="36"/>
      <c r="D26" s="54"/>
      <c r="E26" s="54"/>
      <c r="F26" s="54"/>
      <c r="G26" s="54"/>
      <c r="H26" s="54"/>
      <c r="I26" s="54"/>
      <c r="J26" s="54"/>
      <c r="K26" s="55"/>
    </row>
    <row r="27" spans="1:11" ht="20.100000000000001" customHeight="1" x14ac:dyDescent="0.3">
      <c r="A27" s="47"/>
      <c r="B27" s="35"/>
      <c r="C27" s="36"/>
      <c r="D27" s="54"/>
      <c r="E27" s="54"/>
      <c r="F27" s="54"/>
      <c r="G27" s="54"/>
      <c r="H27" s="54"/>
      <c r="I27" s="54"/>
      <c r="J27" s="54"/>
      <c r="K27" s="55"/>
    </row>
    <row r="28" spans="1:11" ht="20.100000000000001" customHeight="1" x14ac:dyDescent="0.3">
      <c r="A28" s="47"/>
      <c r="B28" s="35"/>
      <c r="C28" s="36"/>
      <c r="D28" s="54"/>
      <c r="E28" s="54"/>
      <c r="F28" s="54"/>
      <c r="G28" s="54"/>
      <c r="H28" s="54"/>
      <c r="I28" s="54"/>
      <c r="J28" s="54"/>
      <c r="K28" s="55"/>
    </row>
    <row r="29" spans="1:11" ht="76.5" customHeight="1" x14ac:dyDescent="0.3">
      <c r="A29" s="48"/>
      <c r="B29" s="54" t="s">
        <v>29</v>
      </c>
      <c r="C29" s="54"/>
      <c r="D29" s="57" t="s">
        <v>66</v>
      </c>
      <c r="E29" s="38"/>
      <c r="F29" s="38"/>
      <c r="G29" s="38"/>
      <c r="H29" s="38"/>
      <c r="I29" s="38"/>
      <c r="J29" s="38"/>
      <c r="K29" s="39"/>
    </row>
    <row r="30" spans="1:11" ht="20.100000000000001" customHeight="1" x14ac:dyDescent="0.3">
      <c r="A30" s="48"/>
      <c r="B30" s="54" t="s">
        <v>30</v>
      </c>
      <c r="C30" s="54"/>
      <c r="D30" s="37"/>
      <c r="E30" s="38"/>
      <c r="F30" s="38"/>
      <c r="G30" s="38"/>
      <c r="H30" s="38"/>
      <c r="I30" s="38"/>
      <c r="J30" s="38"/>
      <c r="K30" s="39"/>
    </row>
    <row r="31" spans="1:11" ht="20.100000000000001" customHeight="1" x14ac:dyDescent="0.3">
      <c r="A31" s="48"/>
      <c r="B31" s="54" t="s">
        <v>31</v>
      </c>
      <c r="C31" s="54"/>
      <c r="D31" s="37" t="s">
        <v>53</v>
      </c>
      <c r="E31" s="38"/>
      <c r="F31" s="38"/>
      <c r="G31" s="38"/>
      <c r="H31" s="38"/>
      <c r="I31" s="38"/>
      <c r="J31" s="38"/>
      <c r="K31" s="39"/>
    </row>
    <row r="32" spans="1:11" ht="19.899999999999999" customHeight="1" x14ac:dyDescent="0.3">
      <c r="A32" s="48"/>
      <c r="B32" s="53"/>
      <c r="C32" s="54"/>
      <c r="D32" s="54" t="s">
        <v>54</v>
      </c>
      <c r="E32" s="54"/>
      <c r="F32" s="54"/>
      <c r="G32" s="54"/>
      <c r="H32" s="54"/>
      <c r="I32" s="54"/>
      <c r="J32" s="54"/>
      <c r="K32" s="55"/>
    </row>
    <row r="33" spans="1:11" ht="19.899999999999999" customHeight="1" x14ac:dyDescent="0.3">
      <c r="A33" s="48"/>
      <c r="B33" s="53"/>
      <c r="C33" s="54"/>
      <c r="D33" s="54" t="s">
        <v>55</v>
      </c>
      <c r="E33" s="54"/>
      <c r="F33" s="54"/>
      <c r="G33" s="54"/>
      <c r="H33" s="54"/>
      <c r="I33" s="54"/>
      <c r="J33" s="54"/>
      <c r="K33" s="55"/>
    </row>
    <row r="34" spans="1:11" ht="19.899999999999999" customHeight="1" x14ac:dyDescent="0.3">
      <c r="A34" s="48"/>
      <c r="B34" s="53"/>
      <c r="C34" s="54"/>
      <c r="D34" s="54" t="s">
        <v>56</v>
      </c>
      <c r="E34" s="54"/>
      <c r="F34" s="54"/>
      <c r="G34" s="54"/>
      <c r="H34" s="54"/>
      <c r="I34" s="54"/>
      <c r="J34" s="54"/>
      <c r="K34" s="55"/>
    </row>
    <row r="35" spans="1:11" ht="19.899999999999999" customHeight="1" x14ac:dyDescent="0.3">
      <c r="A35" s="48"/>
      <c r="B35" s="53"/>
      <c r="C35" s="54"/>
      <c r="D35" s="54" t="s">
        <v>57</v>
      </c>
      <c r="E35" s="54"/>
      <c r="F35" s="54"/>
      <c r="G35" s="54"/>
      <c r="H35" s="54"/>
      <c r="I35" s="54"/>
      <c r="J35" s="54"/>
      <c r="K35" s="55"/>
    </row>
    <row r="36" spans="1:11" ht="19.899999999999999" customHeight="1" x14ac:dyDescent="0.3">
      <c r="A36" s="48"/>
      <c r="B36" s="53" t="s">
        <v>32</v>
      </c>
      <c r="C36" s="54"/>
      <c r="D36" s="54" t="s">
        <v>64</v>
      </c>
      <c r="E36" s="54"/>
      <c r="F36" s="54"/>
      <c r="G36" s="54"/>
      <c r="H36" s="54"/>
      <c r="I36" s="54"/>
      <c r="J36" s="54"/>
      <c r="K36" s="55"/>
    </row>
    <row r="37" spans="1:11" ht="19.899999999999999" customHeight="1" x14ac:dyDescent="0.3">
      <c r="A37" s="48"/>
      <c r="B37" s="40"/>
      <c r="C37" s="41"/>
      <c r="D37" s="41"/>
      <c r="E37" s="41"/>
      <c r="F37" s="41"/>
      <c r="G37" s="41"/>
      <c r="H37" s="41"/>
      <c r="I37" s="41"/>
      <c r="J37" s="41"/>
      <c r="K37" s="42"/>
    </row>
  </sheetData>
  <mergeCells count="76">
    <mergeCell ref="B34:C34"/>
    <mergeCell ref="D34:K34"/>
    <mergeCell ref="B32:C32"/>
    <mergeCell ref="D32:K32"/>
    <mergeCell ref="B33:C33"/>
    <mergeCell ref="D33:K33"/>
    <mergeCell ref="A1:K1"/>
    <mergeCell ref="A3:B3"/>
    <mergeCell ref="C3:E3"/>
    <mergeCell ref="F3:G3"/>
    <mergeCell ref="H3:K3"/>
    <mergeCell ref="A4:B4"/>
    <mergeCell ref="C4:E4"/>
    <mergeCell ref="F4:G4"/>
    <mergeCell ref="H4:K4"/>
    <mergeCell ref="A5:A11"/>
    <mergeCell ref="C5:E5"/>
    <mergeCell ref="F5:F11"/>
    <mergeCell ref="H5:K5"/>
    <mergeCell ref="C6:E6"/>
    <mergeCell ref="H6:K6"/>
    <mergeCell ref="C7:E7"/>
    <mergeCell ref="H7:K7"/>
    <mergeCell ref="C8:E8"/>
    <mergeCell ref="H8:K8"/>
    <mergeCell ref="C9:E9"/>
    <mergeCell ref="H9:K9"/>
    <mergeCell ref="C10:E10"/>
    <mergeCell ref="H10:K10"/>
    <mergeCell ref="C11:E11"/>
    <mergeCell ref="H11:K11"/>
    <mergeCell ref="A12:K12"/>
    <mergeCell ref="G15:H15"/>
    <mergeCell ref="I15:J15"/>
    <mergeCell ref="G16:H16"/>
    <mergeCell ref="I16:J16"/>
    <mergeCell ref="A13:B13"/>
    <mergeCell ref="C13:E13"/>
    <mergeCell ref="F13:K13"/>
    <mergeCell ref="G14:H14"/>
    <mergeCell ref="I14:J14"/>
    <mergeCell ref="G19:H19"/>
    <mergeCell ref="I19:J19"/>
    <mergeCell ref="G20:H20"/>
    <mergeCell ref="I20:J20"/>
    <mergeCell ref="G17:H17"/>
    <mergeCell ref="I17:J17"/>
    <mergeCell ref="G18:H18"/>
    <mergeCell ref="I18:J18"/>
    <mergeCell ref="G21:H21"/>
    <mergeCell ref="I21:J21"/>
    <mergeCell ref="B29:C29"/>
    <mergeCell ref="D29:K29"/>
    <mergeCell ref="G22:H22"/>
    <mergeCell ref="I22:J22"/>
    <mergeCell ref="G23:H23"/>
    <mergeCell ref="I23:J23"/>
    <mergeCell ref="D28:K28"/>
    <mergeCell ref="D26:K26"/>
    <mergeCell ref="D27:K27"/>
    <mergeCell ref="D31:K31"/>
    <mergeCell ref="B37:C37"/>
    <mergeCell ref="D37:K37"/>
    <mergeCell ref="A24:E24"/>
    <mergeCell ref="G24:H24"/>
    <mergeCell ref="I24:J24"/>
    <mergeCell ref="A25:A37"/>
    <mergeCell ref="B25:C25"/>
    <mergeCell ref="D25:K25"/>
    <mergeCell ref="B36:C36"/>
    <mergeCell ref="D36:K36"/>
    <mergeCell ref="B30:C30"/>
    <mergeCell ref="D30:K30"/>
    <mergeCell ref="B31:C31"/>
    <mergeCell ref="B35:C35"/>
    <mergeCell ref="D35:K35"/>
  </mergeCells>
  <phoneticPr fontId="1" type="noConversion"/>
  <hyperlinks>
    <hyperlink ref="C11" r:id="rId1" xr:uid="{00000000-0004-0000-0000-000000000000}"/>
    <hyperlink ref="H11" r:id="rId2" xr:uid="{56822FB6-EDCA-468D-8EBA-4EF1CFC878D9}"/>
  </hyperlinks>
  <printOptions horizontalCentered="1" verticalCentered="1"/>
  <pageMargins left="0.39370078740157483" right="0.39370078740157483" top="0.74803149606299213" bottom="0.74803149606299213" header="0.31496062992125984" footer="0.31496062992125984"/>
  <pageSetup paperSize="9" scale="70" orientation="portrait" r:id="rId3"/>
  <headerFooter>
    <oddHeader xml:space="preserve">&amp;L&amp;"-,굵게"&amp;9
코바테크(주)&amp;R&amp;8&amp;K00-012
</oddHeader>
    <oddFooter xml:space="preserve">&amp;R&amp;"-,굵게"&amp;8
 1 / 1
</oddFooter>
  </headerFooter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E5:T18"/>
  <sheetViews>
    <sheetView topLeftCell="E1" workbookViewId="0">
      <selection activeCell="K17" sqref="K17"/>
    </sheetView>
  </sheetViews>
  <sheetFormatPr defaultRowHeight="16.5" x14ac:dyDescent="0.3"/>
  <cols>
    <col min="6" max="7" width="11.125" bestFit="1" customWidth="1"/>
    <col min="8" max="8" width="10.875" style="19" bestFit="1" customWidth="1"/>
    <col min="9" max="12" width="10.875" style="19" customWidth="1"/>
    <col min="13" max="13" width="10.875" style="19" bestFit="1" customWidth="1"/>
    <col min="14" max="15" width="10.875" bestFit="1" customWidth="1"/>
    <col min="16" max="16" width="15.375" style="20" bestFit="1" customWidth="1"/>
    <col min="17" max="17" width="10.875" style="20" customWidth="1"/>
    <col min="18" max="19" width="10.875" style="20" bestFit="1" customWidth="1"/>
    <col min="20" max="20" width="11.875" bestFit="1" customWidth="1"/>
  </cols>
  <sheetData>
    <row r="5" spans="5:20" x14ac:dyDescent="0.3">
      <c r="F5" s="87" t="s">
        <v>33</v>
      </c>
      <c r="G5" s="87"/>
      <c r="H5" s="87"/>
      <c r="I5" s="87"/>
      <c r="J5" s="87"/>
      <c r="K5" s="87" t="s">
        <v>36</v>
      </c>
      <c r="L5" s="87"/>
      <c r="M5" s="87"/>
      <c r="N5" s="87"/>
      <c r="O5" s="87"/>
      <c r="P5" s="20" t="s">
        <v>40</v>
      </c>
      <c r="Q5" s="20" t="s">
        <v>41</v>
      </c>
      <c r="R5" s="20" t="s">
        <v>42</v>
      </c>
      <c r="S5" s="20" t="s">
        <v>43</v>
      </c>
      <c r="T5" s="20" t="s">
        <v>44</v>
      </c>
    </row>
    <row r="6" spans="5:20" x14ac:dyDescent="0.3">
      <c r="F6" s="88" t="s">
        <v>39</v>
      </c>
      <c r="G6" s="88"/>
      <c r="H6" s="19" t="s">
        <v>37</v>
      </c>
      <c r="I6" s="19" t="s">
        <v>38</v>
      </c>
      <c r="J6" s="19" t="s">
        <v>44</v>
      </c>
      <c r="K6" s="88" t="s">
        <v>39</v>
      </c>
      <c r="L6" s="88"/>
      <c r="M6" s="19" t="s">
        <v>37</v>
      </c>
      <c r="N6" s="19" t="s">
        <v>38</v>
      </c>
      <c r="O6" s="19" t="s">
        <v>44</v>
      </c>
    </row>
    <row r="7" spans="5:20" x14ac:dyDescent="0.3">
      <c r="E7" s="88" t="s">
        <v>34</v>
      </c>
      <c r="F7" s="18">
        <v>41590</v>
      </c>
      <c r="G7" s="18">
        <f>F7+29</f>
        <v>41619</v>
      </c>
      <c r="H7" s="19">
        <v>7500000</v>
      </c>
    </row>
    <row r="8" spans="5:20" x14ac:dyDescent="0.3">
      <c r="E8" s="88"/>
      <c r="F8" s="18">
        <f t="shared" ref="F8:F14" si="0">G7+1</f>
        <v>41620</v>
      </c>
      <c r="G8" s="18">
        <f>F8+30</f>
        <v>41650</v>
      </c>
      <c r="H8" s="19">
        <v>7500000</v>
      </c>
    </row>
    <row r="9" spans="5:20" x14ac:dyDescent="0.3">
      <c r="E9" s="88" t="s">
        <v>35</v>
      </c>
      <c r="F9" s="18">
        <f t="shared" si="0"/>
        <v>41651</v>
      </c>
      <c r="G9" s="18">
        <f>F9+30</f>
        <v>41681</v>
      </c>
      <c r="H9" s="19">
        <v>7500000</v>
      </c>
      <c r="I9" s="19">
        <v>1500000</v>
      </c>
      <c r="J9" s="19">
        <v>600000</v>
      </c>
      <c r="K9" s="18"/>
      <c r="L9" s="18"/>
      <c r="N9" s="19"/>
      <c r="P9" s="20">
        <v>1200000</v>
      </c>
    </row>
    <row r="10" spans="5:20" x14ac:dyDescent="0.3">
      <c r="E10" s="88"/>
      <c r="F10" s="18">
        <f t="shared" si="0"/>
        <v>41682</v>
      </c>
      <c r="G10" s="18">
        <f>F10+27</f>
        <v>41709</v>
      </c>
      <c r="H10" s="19">
        <v>7500000</v>
      </c>
      <c r="I10" s="19">
        <v>1500000</v>
      </c>
      <c r="J10" s="19">
        <v>600000</v>
      </c>
      <c r="K10" s="18">
        <v>41671</v>
      </c>
      <c r="L10" s="18">
        <f>K10+27</f>
        <v>41698</v>
      </c>
      <c r="M10" s="19">
        <v>5000000</v>
      </c>
      <c r="N10" s="19">
        <v>1500000</v>
      </c>
      <c r="O10" s="19">
        <v>600000</v>
      </c>
      <c r="P10" s="20">
        <v>1200000</v>
      </c>
      <c r="Q10" s="20">
        <v>8500000</v>
      </c>
      <c r="R10" s="20">
        <v>6200000</v>
      </c>
      <c r="S10" s="20">
        <v>6200000</v>
      </c>
      <c r="T10" s="20">
        <f>21*600000</f>
        <v>12600000</v>
      </c>
    </row>
    <row r="11" spans="5:20" x14ac:dyDescent="0.3">
      <c r="E11" s="88"/>
      <c r="F11" s="18">
        <f t="shared" si="0"/>
        <v>41710</v>
      </c>
      <c r="G11" s="18">
        <f>F11+30</f>
        <v>41740</v>
      </c>
      <c r="H11" s="19">
        <v>7500000</v>
      </c>
      <c r="I11" s="19">
        <v>1500000</v>
      </c>
      <c r="J11" s="19">
        <v>600000</v>
      </c>
      <c r="K11" s="18">
        <f>L10+1</f>
        <v>41699</v>
      </c>
      <c r="L11" s="18">
        <f>K11+30</f>
        <v>41729</v>
      </c>
      <c r="M11" s="19">
        <v>5000000</v>
      </c>
      <c r="N11" s="19">
        <v>1500000</v>
      </c>
      <c r="O11" s="19">
        <v>600000</v>
      </c>
      <c r="P11" s="20">
        <v>1200000</v>
      </c>
      <c r="Q11" s="20">
        <v>8500000</v>
      </c>
      <c r="R11" s="20">
        <v>6200000</v>
      </c>
      <c r="S11" s="20">
        <v>6200000</v>
      </c>
    </row>
    <row r="12" spans="5:20" x14ac:dyDescent="0.3">
      <c r="E12" s="88"/>
      <c r="F12" s="18">
        <f t="shared" si="0"/>
        <v>41741</v>
      </c>
      <c r="G12" s="18">
        <f>F12+29</f>
        <v>41770</v>
      </c>
      <c r="H12" s="19">
        <v>7500000</v>
      </c>
      <c r="I12" s="19">
        <v>1500000</v>
      </c>
      <c r="J12" s="19">
        <v>600000</v>
      </c>
      <c r="K12" s="18">
        <f>L11+1</f>
        <v>41730</v>
      </c>
      <c r="L12" s="18">
        <f>K12+29</f>
        <v>41759</v>
      </c>
      <c r="M12" s="19">
        <v>5000000</v>
      </c>
      <c r="N12" s="19">
        <v>1500000</v>
      </c>
      <c r="O12" s="19">
        <v>600000</v>
      </c>
      <c r="P12" s="20">
        <v>1200000</v>
      </c>
      <c r="Q12" s="20">
        <v>8500000</v>
      </c>
      <c r="R12" s="20">
        <v>6200000</v>
      </c>
      <c r="S12" s="20">
        <v>6200000</v>
      </c>
    </row>
    <row r="13" spans="5:20" x14ac:dyDescent="0.3">
      <c r="E13" s="88"/>
      <c r="F13" s="18">
        <f t="shared" si="0"/>
        <v>41771</v>
      </c>
      <c r="G13" s="18">
        <f>F13+30</f>
        <v>41801</v>
      </c>
      <c r="H13" s="19">
        <v>7500000</v>
      </c>
      <c r="I13" s="19">
        <v>1500000</v>
      </c>
      <c r="J13" s="19">
        <v>600000</v>
      </c>
      <c r="K13" s="18">
        <f>L12+1</f>
        <v>41760</v>
      </c>
      <c r="L13" s="18">
        <f>K13+30</f>
        <v>41790</v>
      </c>
      <c r="M13" s="19">
        <v>5000000</v>
      </c>
      <c r="N13" s="19">
        <v>1500000</v>
      </c>
      <c r="O13" s="19">
        <v>600000</v>
      </c>
      <c r="P13" s="20">
        <v>1200000</v>
      </c>
      <c r="R13" s="20">
        <v>6200000</v>
      </c>
    </row>
    <row r="14" spans="5:20" x14ac:dyDescent="0.3">
      <c r="E14" s="88"/>
      <c r="F14" s="18">
        <f t="shared" si="0"/>
        <v>41802</v>
      </c>
      <c r="G14" s="18">
        <f>F14+18</f>
        <v>41820</v>
      </c>
      <c r="H14" s="19">
        <f>7500000/30*19</f>
        <v>4750000</v>
      </c>
      <c r="I14" s="19">
        <f>50000*19</f>
        <v>950000</v>
      </c>
      <c r="J14" s="19">
        <v>600000</v>
      </c>
      <c r="K14" s="18">
        <f>L13+1</f>
        <v>41791</v>
      </c>
      <c r="L14" s="18">
        <f>K14+29</f>
        <v>41820</v>
      </c>
      <c r="M14" s="19">
        <v>5000000</v>
      </c>
      <c r="N14" s="19">
        <v>1500000</v>
      </c>
      <c r="O14" s="19">
        <v>600000</v>
      </c>
      <c r="P14" s="20">
        <v>1200000</v>
      </c>
      <c r="R14" s="20">
        <v>6200000</v>
      </c>
    </row>
    <row r="15" spans="5:20" x14ac:dyDescent="0.3">
      <c r="H15" s="87">
        <f>SUM(H7:I14)</f>
        <v>65700000</v>
      </c>
      <c r="I15" s="87"/>
      <c r="J15" s="21">
        <f>SUM(J9:J14)</f>
        <v>3600000</v>
      </c>
      <c r="M15" s="87">
        <f>SUM(M7:N14)</f>
        <v>32500000</v>
      </c>
      <c r="N15" s="87"/>
      <c r="O15" s="21">
        <f>SUM(O10:O14)</f>
        <v>3000000</v>
      </c>
      <c r="P15" s="20">
        <f>SUM(P9:P14)</f>
        <v>7200000</v>
      </c>
      <c r="Q15" s="20">
        <f>SUM(Q9:Q14)</f>
        <v>25500000</v>
      </c>
      <c r="R15" s="20">
        <f>SUM(R9:R14)</f>
        <v>31000000</v>
      </c>
      <c r="S15" s="20">
        <f>SUM(S9:S14)</f>
        <v>18600000</v>
      </c>
    </row>
    <row r="16" spans="5:20" x14ac:dyDescent="0.3">
      <c r="H16" s="87">
        <f>SUM(H15:O15)</f>
        <v>104800000</v>
      </c>
      <c r="I16" s="87"/>
      <c r="J16" s="87"/>
      <c r="K16" s="87"/>
      <c r="L16" s="87"/>
      <c r="M16" s="87"/>
      <c r="N16" s="87"/>
      <c r="O16" s="87"/>
      <c r="P16" s="87">
        <f>SUM(P15:S15)</f>
        <v>82300000</v>
      </c>
      <c r="Q16" s="87"/>
      <c r="R16" s="87"/>
      <c r="S16" s="87"/>
    </row>
    <row r="17" spans="11:19" x14ac:dyDescent="0.3">
      <c r="K17" s="19">
        <f>SUM(H15,M15)</f>
        <v>98200000</v>
      </c>
    </row>
    <row r="18" spans="11:19" x14ac:dyDescent="0.3">
      <c r="Q18" s="87">
        <f>H16+P16+T10</f>
        <v>199700000</v>
      </c>
      <c r="R18" s="87"/>
      <c r="S18" s="87"/>
    </row>
  </sheetData>
  <mergeCells count="11">
    <mergeCell ref="E7:E8"/>
    <mergeCell ref="E9:E14"/>
    <mergeCell ref="H15:I15"/>
    <mergeCell ref="M15:N15"/>
    <mergeCell ref="H16:O16"/>
    <mergeCell ref="P16:S16"/>
    <mergeCell ref="Q18:S18"/>
    <mergeCell ref="F5:J5"/>
    <mergeCell ref="K5:O5"/>
    <mergeCell ref="F6:G6"/>
    <mergeCell ref="K6:L6"/>
  </mergeCells>
  <phoneticPr fontId="8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발주서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황하나</dc:creator>
  <cp:lastModifiedBy>성관 권</cp:lastModifiedBy>
  <cp:lastPrinted>2025-05-25T10:31:10Z</cp:lastPrinted>
  <dcterms:created xsi:type="dcterms:W3CDTF">2013-04-02T07:35:40Z</dcterms:created>
  <dcterms:modified xsi:type="dcterms:W3CDTF">2026-02-07T03:53:03Z</dcterms:modified>
</cp:coreProperties>
</file>