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5b643ae5ad902/ULVAC-PHI/7. 일반 문서/1. 수출 문서/2026년/2026.01.29 CRPS 20대/"/>
    </mc:Choice>
  </mc:AlternateContent>
  <xr:revisionPtr revIDLastSave="141" documentId="8_{632A4D16-C2EC-44E7-80EB-3D8B3EDE83C1}" xr6:coauthVersionLast="47" xr6:coauthVersionMax="47" xr10:uidLastSave="{334479CE-DBCE-4B08-AB22-C327ECB602C2}"/>
  <bookViews>
    <workbookView xWindow="-108" yWindow="-108" windowWidth="23256" windowHeight="13896" xr2:uid="{8D62DA7C-C7F3-448E-87D7-9E12D1C97FA7}"/>
  </bookViews>
  <sheets>
    <sheet name="Sheet1" sheetId="1" r:id="rId1"/>
    <sheet name="Sheet2" sheetId="2" r:id="rId2"/>
  </sheets>
  <definedNames>
    <definedName name="_xlnm.Print_Area" localSheetId="0">Sheet1!$A$1:$BB$78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I58" i="1"/>
  <c r="AV45" i="1"/>
  <c r="H11" i="2"/>
  <c r="J11" i="2" s="1"/>
  <c r="H10" i="2"/>
  <c r="J10" i="2" l="1"/>
  <c r="AV54" i="1"/>
  <c r="AV53" i="1"/>
  <c r="AV52" i="1"/>
  <c r="AV51" i="1"/>
  <c r="AV50" i="1"/>
  <c r="AV49" i="1"/>
  <c r="AV48" i="1"/>
  <c r="AV47" i="1"/>
  <c r="AV46" i="1"/>
  <c r="AV44" i="1"/>
  <c r="AV43" i="1"/>
  <c r="AV74" i="1"/>
  <c r="AV55" i="1" l="1"/>
  <c r="AV69" i="1" s="1"/>
</calcChain>
</file>

<file path=xl/sharedStrings.xml><?xml version="1.0" encoding="utf-8"?>
<sst xmlns="http://schemas.openxmlformats.org/spreadsheetml/2006/main" count="108" uniqueCount="93">
  <si>
    <t>324-40 Sinwolsou-Gil, Seonggeo-Eup, Seobuk-Gu, Cheonan</t>
  </si>
  <si>
    <t>Chungcheongnam-do, Republic of Korea</t>
  </si>
  <si>
    <t>COMMERCIAL INVOICE</t>
    <phoneticPr fontId="3" type="noConversion"/>
  </si>
  <si>
    <t>EXPORTER (수출업자)</t>
    <phoneticPr fontId="3" type="noConversion"/>
  </si>
  <si>
    <t>Tax ID# (세금 ID 번호)</t>
    <phoneticPr fontId="3" type="noConversion"/>
  </si>
  <si>
    <t>Contact Name (담당자 이름)</t>
    <phoneticPr fontId="3" type="noConversion"/>
  </si>
  <si>
    <t>Telephone No. (전화번호)</t>
    <phoneticPr fontId="3" type="noConversion"/>
  </si>
  <si>
    <t>E-Mail (이메일)</t>
    <phoneticPr fontId="3" type="noConversion"/>
  </si>
  <si>
    <t>Company Name/Address (회사명/주소)</t>
    <phoneticPr fontId="3" type="noConversion"/>
  </si>
  <si>
    <t>Sung Gwan Kwon</t>
    <phoneticPr fontId="3" type="noConversion"/>
  </si>
  <si>
    <t>01032678636</t>
    <phoneticPr fontId="3" type="noConversion"/>
  </si>
  <si>
    <t>KOBATECH Co., Ltd</t>
    <phoneticPr fontId="3" type="noConversion"/>
  </si>
  <si>
    <t>Country (국가)</t>
    <phoneticPr fontId="3" type="noConversion"/>
  </si>
  <si>
    <t>Parties to Transaction (트랜잭션 당사자)</t>
    <phoneticPr fontId="3" type="noConversion"/>
  </si>
  <si>
    <t xml:space="preserve"> Related (관련 있음)</t>
    <phoneticPr fontId="3" type="noConversion"/>
  </si>
  <si>
    <t xml:space="preserve"> Non-Related (비관련)</t>
    <phoneticPr fontId="3" type="noConversion"/>
  </si>
  <si>
    <t>X</t>
    <phoneticPr fontId="3" type="noConversion"/>
  </si>
  <si>
    <t>KOREA, REPUBLIC OF (SOUTH)</t>
    <phoneticPr fontId="3" type="noConversion"/>
  </si>
  <si>
    <t>CONSIGNEE (수취인)</t>
    <phoneticPr fontId="3" type="noConversion"/>
  </si>
  <si>
    <t>81467854983</t>
    <phoneticPr fontId="3" type="noConversion"/>
  </si>
  <si>
    <t>ULVAC-PHI, INC.</t>
    <phoneticPr fontId="3" type="noConversion"/>
  </si>
  <si>
    <t>ULVAC-PHI C-2, 4th Material Income, 2500 Hagisono, Chigasaki-Shi 2538522</t>
    <phoneticPr fontId="3" type="noConversion"/>
  </si>
  <si>
    <t>Japan</t>
    <phoneticPr fontId="3" type="noConversion"/>
  </si>
  <si>
    <t>JAPAN</t>
    <phoneticPr fontId="3" type="noConversion"/>
  </si>
  <si>
    <t>Ship Date (발송 날짜)</t>
    <phoneticPr fontId="3" type="noConversion"/>
  </si>
  <si>
    <t>Air Waybill No. / Tracking No. (항공 운송장 번호/추적 번호)</t>
    <phoneticPr fontId="3" type="noConversion"/>
  </si>
  <si>
    <t>Invoice No. (송장 번호)</t>
    <phoneticPr fontId="3" type="noConversion"/>
  </si>
  <si>
    <t>Purchase Order (발주 번호)</t>
    <phoneticPr fontId="3" type="noConversion"/>
  </si>
  <si>
    <t>Payment Terms (지불 조건)</t>
    <phoneticPr fontId="3" type="noConversion"/>
  </si>
  <si>
    <t>Bill of Lading (선하 증권)</t>
    <phoneticPr fontId="3" type="noConversion"/>
  </si>
  <si>
    <t>Purpose of Shipment (발송 목적)</t>
    <phoneticPr fontId="3" type="noConversion"/>
  </si>
  <si>
    <t>SOLD TO (if defferent from Consignee)</t>
    <phoneticPr fontId="3" type="noConversion"/>
  </si>
  <si>
    <t xml:space="preserve"> Same as CONSIGNEE (수취인과 동일)</t>
    <phoneticPr fontId="3" type="noConversion"/>
  </si>
  <si>
    <t>If there is a designated broker for this shipment, please provide contact information (본 선적과 관련하여 지정된 중개인이 있는 경우 연락처 정보를 입력하십시오.)</t>
    <phoneticPr fontId="3" type="noConversion"/>
  </si>
  <si>
    <t>Name of Broker (브로커 이름)</t>
    <phoneticPr fontId="3" type="noConversion"/>
  </si>
  <si>
    <t>Tel. No (전화 번호)</t>
    <phoneticPr fontId="3" type="noConversion"/>
  </si>
  <si>
    <t>Duties and Taxes Payable by (관세 및 세금 지불인)</t>
    <phoneticPr fontId="3" type="noConversion"/>
  </si>
  <si>
    <t xml:space="preserve"> Exporter (수출업자)</t>
    <phoneticPr fontId="3" type="noConversion"/>
  </si>
  <si>
    <t xml:space="preserve"> Consignee (수취인)</t>
    <phoneticPr fontId="3" type="noConversion"/>
  </si>
  <si>
    <t xml:space="preserve"> Other (기타)</t>
    <phoneticPr fontId="3" type="noConversion"/>
  </si>
  <si>
    <t>If Other, please specify (기타인 경우, 상세 정보를 입력하십시오.)</t>
    <phoneticPr fontId="3" type="noConversion"/>
  </si>
  <si>
    <t>No. of
Packages
(발송물 개수)</t>
    <phoneticPr fontId="3" type="noConversion"/>
  </si>
  <si>
    <t>No. of
Units
(단위 수)</t>
    <phoneticPr fontId="3" type="noConversion"/>
  </si>
  <si>
    <t>Net Weight
(LBS/KGS)
(순중량)</t>
    <phoneticPr fontId="3" type="noConversion"/>
  </si>
  <si>
    <t>Unit of
Measure
(측정 단위)</t>
    <phoneticPr fontId="3" type="noConversion"/>
  </si>
  <si>
    <t>Description of Goods
(물품 명세)</t>
    <phoneticPr fontId="3" type="noConversion"/>
  </si>
  <si>
    <t>Country of
Manufacture
(제조 국가)</t>
    <phoneticPr fontId="3" type="noConversion"/>
  </si>
  <si>
    <t>Unit
Value
(단가)</t>
    <phoneticPr fontId="3" type="noConversion"/>
  </si>
  <si>
    <t>Total
Value
(총 가격)</t>
    <phoneticPr fontId="3" type="noConversion"/>
  </si>
  <si>
    <t>Total
Packages
(총 발송물)</t>
    <phoneticPr fontId="3" type="noConversion"/>
  </si>
  <si>
    <t>No. of
Units
(총 단위)</t>
    <phoneticPr fontId="3" type="noConversion"/>
  </si>
  <si>
    <t>Total Net
Weight
(총 순중량)</t>
    <phoneticPr fontId="3" type="noConversion"/>
  </si>
  <si>
    <t>(Indicate
LBS/KGS)</t>
    <phoneticPr fontId="3" type="noConversion"/>
  </si>
  <si>
    <t>Total Gross
Weight
(총 중량)</t>
    <phoneticPr fontId="3" type="noConversion"/>
  </si>
  <si>
    <t>Terms of Sale (판매 조건)</t>
    <phoneticPr fontId="3" type="noConversion"/>
  </si>
  <si>
    <t>Subtotal
(소계)</t>
    <phoneticPr fontId="3" type="noConversion"/>
  </si>
  <si>
    <t>Insurance
(보험)</t>
    <phoneticPr fontId="3" type="noConversion"/>
  </si>
  <si>
    <t>Special Instructions (특별 지시 사항)</t>
    <phoneticPr fontId="3" type="noConversion"/>
  </si>
  <si>
    <t>Freight
(화물)</t>
    <phoneticPr fontId="3" type="noConversion"/>
  </si>
  <si>
    <t>Packing
(포장)</t>
    <phoneticPr fontId="3" type="noConversion"/>
  </si>
  <si>
    <t>Handling
(처리 수수료)</t>
    <phoneticPr fontId="3" type="noConversion"/>
  </si>
  <si>
    <t>Other (기타)</t>
    <phoneticPr fontId="3" type="noConversion"/>
  </si>
  <si>
    <t>Invoice Total
(총 송장 가격)</t>
    <phoneticPr fontId="3" type="noConversion"/>
  </si>
  <si>
    <t>Currency Code
(통화 코드)</t>
    <phoneticPr fontId="3" type="noConversion"/>
  </si>
  <si>
    <t>Declaration Statement(s) (신고서)</t>
    <phoneticPr fontId="3" type="noConversion"/>
  </si>
  <si>
    <t>I declare that all the information contained in this invoice to be true and correct</t>
    <phoneticPr fontId="3" type="noConversion"/>
  </si>
  <si>
    <t>(본 송장에 포함된 모든 정보는 사실이며 정확함을 증명합니다)</t>
    <phoneticPr fontId="3" type="noConversion"/>
  </si>
  <si>
    <t>Originator or Name of Company Representative if the invoice is being completed on behalf of a company or indivitual</t>
    <phoneticPr fontId="3" type="noConversion"/>
  </si>
  <si>
    <t>(회사 또는 개인을 대신하여 송장을 작성중인 경우, 발행인 또는 회사 대리인의 이름)</t>
    <phoneticPr fontId="3" type="noConversion"/>
  </si>
  <si>
    <t>Signature / Title / Date</t>
    <phoneticPr fontId="3" type="noConversion"/>
  </si>
  <si>
    <t>(서명/직책/날짜)</t>
    <phoneticPr fontId="3" type="noConversion"/>
  </si>
  <si>
    <t>PCS</t>
    <phoneticPr fontId="3" type="noConversion"/>
  </si>
  <si>
    <t>KR</t>
    <phoneticPr fontId="3" type="noConversion"/>
  </si>
  <si>
    <t>Page</t>
    <phoneticPr fontId="3" type="noConversion"/>
  </si>
  <si>
    <t>of</t>
    <phoneticPr fontId="3" type="noConversion"/>
  </si>
  <si>
    <t>REV.22.07.26.-1.00</t>
    <phoneticPr fontId="3" type="noConversion"/>
  </si>
  <si>
    <t>JPY</t>
    <phoneticPr fontId="3" type="noConversion"/>
  </si>
  <si>
    <t>Part Number
(부품 번호)</t>
    <phoneticPr fontId="3" type="noConversion"/>
  </si>
  <si>
    <t>Hitomi Monzonpersivale</t>
    <phoneticPr fontId="3" type="noConversion"/>
  </si>
  <si>
    <t>hitomi_monzonpersivale@ulvac.com</t>
    <phoneticPr fontId="3" type="noConversion"/>
  </si>
  <si>
    <t>Item Name (품명)</t>
    <phoneticPr fontId="3" type="noConversion"/>
  </si>
  <si>
    <t>Trade Item Name (거래품명)</t>
    <phoneticPr fontId="3" type="noConversion"/>
  </si>
  <si>
    <t>PARTS OF MEASURING INSTRUMENTS</t>
    <phoneticPr fontId="3" type="noConversion"/>
  </si>
  <si>
    <t>PARTS FOR SURFACE PROFILER ANALYSIS EQUIPMENT</t>
    <phoneticPr fontId="3" type="noConversion"/>
  </si>
  <si>
    <t>Other Charges</t>
    <phoneticPr fontId="3" type="noConversion"/>
  </si>
  <si>
    <t>TERM :</t>
    <phoneticPr fontId="3" type="noConversion"/>
  </si>
  <si>
    <t>SOLD</t>
    <phoneticPr fontId="3" type="noConversion"/>
  </si>
  <si>
    <t>EXW</t>
    <phoneticPr fontId="3" type="noConversion"/>
  </si>
  <si>
    <t>kobatech@kobatech.co.kr</t>
    <phoneticPr fontId="3" type="noConversion"/>
  </si>
  <si>
    <t>ASSY-CARD RACK PWR SPLY,ROHS</t>
    <phoneticPr fontId="3" type="noConversion"/>
  </si>
  <si>
    <t>B10000851180</t>
  </si>
  <si>
    <t>KI20260129-003</t>
    <phoneticPr fontId="3" type="noConversion"/>
  </si>
  <si>
    <t>5PLT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</si>
</sst>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dd\ mmm\,\ yyyy"/>
    <numFmt numFmtId="178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/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4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11" xfId="0" quotePrefix="1" applyFont="1" applyBorder="1" applyAlignment="1">
      <alignment horizontal="left" vertical="center"/>
    </xf>
    <xf numFmtId="0" fontId="10" fillId="0" borderId="2" xfId="2" applyFont="1" applyBorder="1" applyAlignment="1">
      <alignment horizontal="left" vertical="center"/>
    </xf>
    <xf numFmtId="0" fontId="10" fillId="0" borderId="11" xfId="2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left" vertical="center"/>
    </xf>
    <xf numFmtId="177" fontId="6" fillId="0" borderId="7" xfId="0" applyNumberFormat="1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6" fillId="0" borderId="12" xfId="0" quotePrefix="1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13" xfId="0" applyFont="1" applyBorder="1" applyAlignment="1">
      <alignment horizontal="left" vertical="center" indent="1"/>
    </xf>
    <xf numFmtId="0" fontId="11" fillId="0" borderId="2" xfId="2" quotePrefix="1" applyFont="1" applyBorder="1" applyAlignment="1">
      <alignment horizontal="left" vertical="center" wrapText="1"/>
    </xf>
    <xf numFmtId="0" fontId="11" fillId="0" borderId="2" xfId="2" applyFont="1" applyBorder="1" applyAlignment="1">
      <alignment horizontal="left" vertical="center"/>
    </xf>
    <xf numFmtId="0" fontId="11" fillId="0" borderId="11" xfId="2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176" fontId="6" fillId="0" borderId="23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6" fillId="0" borderId="17" xfId="1" applyNumberFormat="1" applyFont="1" applyBorder="1" applyAlignment="1">
      <alignment horizontal="center" vertical="center"/>
    </xf>
    <xf numFmtId="176" fontId="6" fillId="0" borderId="18" xfId="1" applyNumberFormat="1" applyFont="1" applyBorder="1" applyAlignment="1">
      <alignment horizontal="center" vertical="center"/>
    </xf>
    <xf numFmtId="176" fontId="6" fillId="0" borderId="19" xfId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" fontId="6" fillId="0" borderId="5" xfId="0" quotePrefix="1" applyNumberFormat="1" applyFont="1" applyBorder="1" applyAlignment="1">
      <alignment horizontal="center" vertical="center"/>
    </xf>
    <xf numFmtId="1" fontId="6" fillId="0" borderId="6" xfId="0" quotePrefix="1" applyNumberFormat="1" applyFont="1" applyBorder="1" applyAlignment="1">
      <alignment horizontal="center" vertical="center"/>
    </xf>
    <xf numFmtId="1" fontId="6" fillId="0" borderId="7" xfId="0" quotePrefix="1" applyNumberFormat="1" applyFont="1" applyBorder="1" applyAlignment="1">
      <alignment horizontal="center" vertical="center"/>
    </xf>
    <xf numFmtId="1" fontId="6" fillId="0" borderId="14" xfId="0" quotePrefix="1" applyNumberFormat="1" applyFont="1" applyBorder="1" applyAlignment="1">
      <alignment horizontal="center" vertical="center"/>
    </xf>
    <xf numFmtId="1" fontId="6" fillId="0" borderId="15" xfId="0" quotePrefix="1" applyNumberFormat="1" applyFont="1" applyBorder="1" applyAlignment="1">
      <alignment horizontal="center" vertical="center"/>
    </xf>
    <xf numFmtId="1" fontId="6" fillId="0" borderId="16" xfId="0" quotePrefix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176" fontId="6" fillId="0" borderId="5" xfId="1" applyNumberFormat="1" applyFont="1" applyBorder="1" applyAlignment="1">
      <alignment horizontal="center" vertical="center"/>
    </xf>
    <xf numFmtId="176" fontId="6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176" fontId="6" fillId="0" borderId="8" xfId="1" applyNumberFormat="1" applyFont="1" applyBorder="1" applyAlignment="1">
      <alignment horizontal="center" vertical="center"/>
    </xf>
    <xf numFmtId="176" fontId="6" fillId="0" borderId="0" xfId="1" applyNumberFormat="1" applyFont="1" applyBorder="1" applyAlignment="1">
      <alignment horizontal="center" vertical="center"/>
    </xf>
    <xf numFmtId="176" fontId="6" fillId="0" borderId="9" xfId="1" applyNumberFormat="1" applyFont="1" applyBorder="1" applyAlignment="1">
      <alignment horizontal="center" vertical="center"/>
    </xf>
    <xf numFmtId="176" fontId="6" fillId="0" borderId="14" xfId="1" applyNumberFormat="1" applyFont="1" applyBorder="1" applyAlignment="1">
      <alignment horizontal="center" vertical="center"/>
    </xf>
    <xf numFmtId="176" fontId="6" fillId="0" borderId="15" xfId="1" applyNumberFormat="1" applyFont="1" applyBorder="1" applyAlignment="1">
      <alignment horizontal="center" vertical="center"/>
    </xf>
    <xf numFmtId="176" fontId="6" fillId="0" borderId="1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76" fontId="6" fillId="0" borderId="10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176" fontId="6" fillId="0" borderId="11" xfId="1" applyNumberFormat="1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6" fontId="6" fillId="0" borderId="5" xfId="1" applyNumberFormat="1" applyFont="1" applyBorder="1" applyAlignment="1">
      <alignment horizontal="right" vertical="center"/>
    </xf>
    <xf numFmtId="176" fontId="6" fillId="0" borderId="6" xfId="1" applyNumberFormat="1" applyFont="1" applyBorder="1" applyAlignment="1">
      <alignment horizontal="right" vertical="center"/>
    </xf>
    <xf numFmtId="176" fontId="6" fillId="0" borderId="7" xfId="1" applyNumberFormat="1" applyFont="1" applyBorder="1" applyAlignment="1">
      <alignment horizontal="right" vertical="center"/>
    </xf>
    <xf numFmtId="176" fontId="6" fillId="0" borderId="14" xfId="1" applyNumberFormat="1" applyFont="1" applyBorder="1" applyAlignment="1">
      <alignment horizontal="right" vertical="center"/>
    </xf>
    <xf numFmtId="176" fontId="6" fillId="0" borderId="15" xfId="1" applyNumberFormat="1" applyFont="1" applyBorder="1" applyAlignment="1">
      <alignment horizontal="right" vertical="center"/>
    </xf>
    <xf numFmtId="176" fontId="6" fillId="0" borderId="16" xfId="1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219520</xdr:colOff>
      <xdr:row>1</xdr:row>
      <xdr:rowOff>446892</xdr:rowOff>
    </xdr:from>
    <xdr:to>
      <xdr:col>7</xdr:col>
      <xdr:colOff>34536</xdr:colOff>
      <xdr:row>3</xdr:row>
      <xdr:rowOff>27457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9E047C7-9C40-E949-9FAB-67AE34680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520" y="651731"/>
          <a:ext cx="1439674" cy="424930"/>
        </a:xfrm>
        <a:prstGeom prst="rect">
          <a:avLst/>
        </a:prstGeom>
      </xdr:spPr>
    </xdr:pic>
    <xdr:clientData/>
  </xdr:twoCellAnchor>
  <xdr:twoCellAnchor editAs="oneCell">
    <xdr:from>
      <xdr:col>11</xdr:col>
      <xdr:colOff>48967</xdr:colOff>
      <xdr:row>72</xdr:row>
      <xdr:rowOff>51551</xdr:rowOff>
    </xdr:from>
    <xdr:to>
      <xdr:col>16</xdr:col>
      <xdr:colOff>75302</xdr:colOff>
      <xdr:row>74</xdr:row>
      <xdr:rowOff>186497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2677B74-3680-883B-7E52-616B4CD0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467" y="15482051"/>
          <a:ext cx="1190502" cy="558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itomi_monzonpersivale@ulvac.com" TargetMode="External"/><Relationship Id="rId1" Type="http://schemas.openxmlformats.org/officeDocument/2006/relationships/hyperlink" Target="mailto:kobatech@kobatech.co.k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284F-D0E0-4A2E-92F0-FF27CB8782ED}">
  <sheetPr>
    <pageSetUpPr fitToPage="1"/>
  </sheetPr>
  <dimension ref="B2:BA76"/>
  <sheetViews>
    <sheetView showGridLines="0" tabSelected="1" view="pageBreakPreview" topLeftCell="A57" zoomScale="90" zoomScaleNormal="90" zoomScaleSheetLayoutView="90" workbookViewId="0">
      <selection activeCell="Q58" sqref="Q58:X59"/>
    </sheetView>
  </sheetViews>
  <sheetFormatPr defaultColWidth="3" defaultRowHeight="17.399999999999999" x14ac:dyDescent="0.4"/>
  <cols>
    <col min="1" max="4" width="3" style="8"/>
    <col min="5" max="5" width="3.59765625" style="8" customWidth="1"/>
    <col min="6" max="41" width="3" style="8"/>
    <col min="42" max="42" width="3.59765625" style="8" customWidth="1"/>
    <col min="43" max="16384" width="3" style="8"/>
  </cols>
  <sheetData>
    <row r="2" spans="2:53" ht="46.5" customHeight="1" x14ac:dyDescent="0.4">
      <c r="B2" s="63" t="s">
        <v>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</row>
    <row r="3" spans="2:53" ht="20.25" customHeight="1" x14ac:dyDescent="0.4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55" t="s">
        <v>73</v>
      </c>
      <c r="AS3" s="155"/>
      <c r="AT3" s="155"/>
      <c r="AU3" s="62">
        <v>1</v>
      </c>
      <c r="AV3" s="62"/>
      <c r="AW3" s="10" t="s">
        <v>74</v>
      </c>
      <c r="AX3" s="62">
        <v>1</v>
      </c>
      <c r="AY3" s="62"/>
      <c r="AZ3" s="7"/>
      <c r="BA3" s="7"/>
    </row>
    <row r="4" spans="2:53" ht="9" customHeight="1" thickBot="1" x14ac:dyDescent="0.45"/>
    <row r="5" spans="2:53" ht="17.25" customHeight="1" x14ac:dyDescent="0.4">
      <c r="B5" s="35" t="s">
        <v>3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33" t="s">
        <v>24</v>
      </c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73">
        <v>46051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4"/>
    </row>
    <row r="6" spans="2:53" x14ac:dyDescent="0.4">
      <c r="B6" s="37" t="s">
        <v>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47" t="s">
        <v>25</v>
      </c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75"/>
    </row>
    <row r="7" spans="2:53" x14ac:dyDescent="0.4">
      <c r="B7" s="37" t="s">
        <v>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41" t="s">
        <v>9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  <c r="AB7" s="76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8"/>
    </row>
    <row r="8" spans="2:53" x14ac:dyDescent="0.4">
      <c r="B8" s="37" t="s">
        <v>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3" t="s">
        <v>10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4"/>
      <c r="AB8" s="37" t="s">
        <v>26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43" t="s">
        <v>91</v>
      </c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4"/>
    </row>
    <row r="9" spans="2:53" x14ac:dyDescent="0.4">
      <c r="B9" s="37" t="s">
        <v>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5" t="s">
        <v>88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6"/>
      <c r="AB9" s="37" t="s">
        <v>27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79">
        <v>4502648051</v>
      </c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1"/>
    </row>
    <row r="10" spans="2:53" x14ac:dyDescent="0.4">
      <c r="B10" s="47" t="s">
        <v>8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AA10" s="15"/>
      <c r="AB10" s="37" t="s">
        <v>28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6"/>
    </row>
    <row r="11" spans="2:53" x14ac:dyDescent="0.4">
      <c r="B11" s="16" t="s">
        <v>11</v>
      </c>
      <c r="AA11" s="15"/>
      <c r="AB11" s="37" t="s">
        <v>29</v>
      </c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6"/>
    </row>
    <row r="12" spans="2:53" x14ac:dyDescent="0.4">
      <c r="B12" s="16" t="s">
        <v>0</v>
      </c>
      <c r="AA12" s="15"/>
      <c r="AB12" s="2" t="s">
        <v>30</v>
      </c>
      <c r="BA12" s="15"/>
    </row>
    <row r="13" spans="2:53" x14ac:dyDescent="0.4">
      <c r="B13" s="16" t="s">
        <v>1</v>
      </c>
      <c r="AA13" s="15"/>
      <c r="AB13" s="17" t="s">
        <v>86</v>
      </c>
      <c r="BA13" s="15"/>
    </row>
    <row r="14" spans="2:53" x14ac:dyDescent="0.4">
      <c r="B14" s="37" t="s">
        <v>12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41" t="s">
        <v>17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9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1"/>
    </row>
    <row r="15" spans="2:53" x14ac:dyDescent="0.4">
      <c r="B15" s="39" t="s">
        <v>13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AA15" s="15"/>
      <c r="AB15" s="39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BA15" s="15"/>
    </row>
    <row r="16" spans="2:53" ht="4.5" customHeight="1" thickBot="1" x14ac:dyDescent="0.45">
      <c r="B16" s="16"/>
      <c r="AA16" s="15"/>
      <c r="AB16" s="16"/>
      <c r="BA16" s="15"/>
    </row>
    <row r="17" spans="2:53" ht="18" thickBot="1" x14ac:dyDescent="0.45">
      <c r="B17" s="16"/>
      <c r="C17" s="18"/>
      <c r="D17" s="8" t="s">
        <v>14</v>
      </c>
      <c r="P17" s="18" t="s">
        <v>16</v>
      </c>
      <c r="Q17" s="8" t="s">
        <v>15</v>
      </c>
      <c r="AA17" s="15"/>
      <c r="AB17" s="16"/>
      <c r="BA17" s="15"/>
    </row>
    <row r="18" spans="2:53" ht="4.5" customHeight="1" thickBot="1" x14ac:dyDescent="0.4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B18" s="19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1"/>
    </row>
    <row r="19" spans="2:53" ht="17.25" customHeight="1" thickBot="1" x14ac:dyDescent="0.45">
      <c r="B19" s="35" t="s">
        <v>18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3" t="s">
        <v>31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3"/>
    </row>
    <row r="20" spans="2:53" ht="18" thickBot="1" x14ac:dyDescent="0.45">
      <c r="B20" s="37" t="s">
        <v>4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2"/>
      <c r="AC20" s="5" t="s">
        <v>16</v>
      </c>
      <c r="AD20" s="1" t="s">
        <v>32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BA20" s="15"/>
    </row>
    <row r="21" spans="2:53" x14ac:dyDescent="0.4">
      <c r="B21" s="37" t="s">
        <v>5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41" t="s">
        <v>78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  <c r="AB21" s="16"/>
      <c r="BA21" s="15"/>
    </row>
    <row r="22" spans="2:53" x14ac:dyDescent="0.4">
      <c r="B22" s="37" t="s">
        <v>6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43" t="s">
        <v>19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4"/>
      <c r="AB22" s="47" t="s">
        <v>4</v>
      </c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5"/>
    </row>
    <row r="23" spans="2:53" x14ac:dyDescent="0.4">
      <c r="B23" s="37" t="s">
        <v>7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45" t="s">
        <v>79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6"/>
      <c r="AB23" s="1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7"/>
    </row>
    <row r="24" spans="2:53" x14ac:dyDescent="0.4">
      <c r="B24" s="47" t="s">
        <v>8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AA24" s="15"/>
      <c r="AB24" s="47" t="s">
        <v>8</v>
      </c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BA24" s="15"/>
    </row>
    <row r="25" spans="2:53" x14ac:dyDescent="0.4">
      <c r="B25" s="16" t="s">
        <v>20</v>
      </c>
      <c r="AA25" s="15"/>
      <c r="AB25" s="16"/>
      <c r="BA25" s="15"/>
    </row>
    <row r="26" spans="2:53" x14ac:dyDescent="0.4">
      <c r="B26" s="16" t="s">
        <v>21</v>
      </c>
      <c r="AA26" s="15"/>
      <c r="AB26" s="16"/>
      <c r="BA26" s="15"/>
    </row>
    <row r="27" spans="2:53" x14ac:dyDescent="0.4">
      <c r="B27" s="16" t="s">
        <v>22</v>
      </c>
      <c r="AA27" s="15"/>
      <c r="AB27" s="16"/>
      <c r="BA27" s="15"/>
    </row>
    <row r="28" spans="2:53" ht="18" thickBot="1" x14ac:dyDescent="0.45">
      <c r="B28" s="54" t="s">
        <v>12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8" t="s">
        <v>23</v>
      </c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  <c r="AB28" s="54" t="s">
        <v>12</v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8" t="s">
        <v>23</v>
      </c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</row>
    <row r="29" spans="2:53" x14ac:dyDescent="0.4">
      <c r="B29" s="3" t="s">
        <v>33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3"/>
    </row>
    <row r="30" spans="2:53" ht="21.75" customHeight="1" x14ac:dyDescent="0.4">
      <c r="B30" s="16"/>
      <c r="C30" s="1" t="s">
        <v>34</v>
      </c>
      <c r="X30" s="1" t="s">
        <v>35</v>
      </c>
      <c r="AK30" s="1" t="s">
        <v>5</v>
      </c>
      <c r="BA30" s="15"/>
    </row>
    <row r="31" spans="2:53" x14ac:dyDescent="0.4">
      <c r="B31" s="16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15"/>
    </row>
    <row r="32" spans="2:53" ht="7.5" customHeight="1" thickBot="1" x14ac:dyDescent="0.45">
      <c r="B32" s="16"/>
      <c r="BA32" s="15"/>
    </row>
    <row r="33" spans="2:53" ht="18" thickBot="1" x14ac:dyDescent="0.45">
      <c r="B33" s="2" t="s">
        <v>36</v>
      </c>
      <c r="AB33" s="18"/>
      <c r="AC33" s="1" t="s">
        <v>37</v>
      </c>
      <c r="AK33" s="18" t="s">
        <v>16</v>
      </c>
      <c r="AL33" s="1" t="s">
        <v>38</v>
      </c>
      <c r="AT33" s="18"/>
      <c r="AU33" s="1" t="s">
        <v>39</v>
      </c>
      <c r="BA33" s="15"/>
    </row>
    <row r="34" spans="2:53" ht="24" customHeight="1" x14ac:dyDescent="0.4">
      <c r="B34" s="2" t="s">
        <v>40</v>
      </c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15"/>
    </row>
    <row r="35" spans="2:53" ht="15" customHeight="1" x14ac:dyDescent="0.4">
      <c r="B35" s="6"/>
      <c r="X35" s="1" t="s">
        <v>84</v>
      </c>
      <c r="BA35" s="15"/>
    </row>
    <row r="36" spans="2:53" ht="24" customHeight="1" x14ac:dyDescent="0.4">
      <c r="B36" s="2"/>
      <c r="F36" s="1"/>
      <c r="AD36" s="1" t="s">
        <v>85</v>
      </c>
      <c r="AG36" s="62" t="s">
        <v>87</v>
      </c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15"/>
    </row>
    <row r="37" spans="2:53" ht="5.25" customHeight="1" thickBot="1" x14ac:dyDescent="0.45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1"/>
    </row>
    <row r="38" spans="2:53" ht="16.5" customHeight="1" x14ac:dyDescent="0.4">
      <c r="B38" s="37" t="s">
        <v>80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56" t="s">
        <v>82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7"/>
    </row>
    <row r="39" spans="2:53" ht="16.5" customHeight="1" thickBot="1" x14ac:dyDescent="0.45">
      <c r="B39" s="54" t="s">
        <v>81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8" t="s">
        <v>83</v>
      </c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</row>
    <row r="40" spans="2:53" ht="16.5" customHeight="1" x14ac:dyDescent="0.4">
      <c r="B40" s="64" t="s">
        <v>41</v>
      </c>
      <c r="C40" s="65"/>
      <c r="D40" s="65"/>
      <c r="E40" s="66"/>
      <c r="F40" s="64" t="s">
        <v>42</v>
      </c>
      <c r="G40" s="65"/>
      <c r="H40" s="66"/>
      <c r="I40" s="51" t="s">
        <v>43</v>
      </c>
      <c r="J40" s="65"/>
      <c r="K40" s="65"/>
      <c r="L40" s="65"/>
      <c r="M40" s="64" t="s">
        <v>44</v>
      </c>
      <c r="N40" s="65"/>
      <c r="O40" s="65"/>
      <c r="P40" s="66"/>
      <c r="Q40" s="51" t="s">
        <v>45</v>
      </c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4" t="s">
        <v>77</v>
      </c>
      <c r="AI40" s="51"/>
      <c r="AJ40" s="51"/>
      <c r="AK40" s="51"/>
      <c r="AL40" s="82"/>
      <c r="AM40" s="51" t="s">
        <v>46</v>
      </c>
      <c r="AN40" s="51"/>
      <c r="AO40" s="51"/>
      <c r="AP40" s="51"/>
      <c r="AQ40" s="64" t="s">
        <v>47</v>
      </c>
      <c r="AR40" s="51"/>
      <c r="AS40" s="51"/>
      <c r="AT40" s="51"/>
      <c r="AU40" s="82"/>
      <c r="AV40" s="51" t="s">
        <v>48</v>
      </c>
      <c r="AW40" s="65"/>
      <c r="AX40" s="65"/>
      <c r="AY40" s="65"/>
      <c r="AZ40" s="65"/>
      <c r="BA40" s="66"/>
    </row>
    <row r="41" spans="2:53" x14ac:dyDescent="0.4">
      <c r="B41" s="67"/>
      <c r="C41" s="68"/>
      <c r="D41" s="68"/>
      <c r="E41" s="69"/>
      <c r="F41" s="67"/>
      <c r="G41" s="68"/>
      <c r="H41" s="69"/>
      <c r="I41" s="68"/>
      <c r="J41" s="68"/>
      <c r="K41" s="68"/>
      <c r="L41" s="68"/>
      <c r="M41" s="67"/>
      <c r="N41" s="68"/>
      <c r="O41" s="68"/>
      <c r="P41" s="69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83"/>
      <c r="AI41" s="52"/>
      <c r="AJ41" s="52"/>
      <c r="AK41" s="52"/>
      <c r="AL41" s="84"/>
      <c r="AM41" s="52"/>
      <c r="AN41" s="52"/>
      <c r="AO41" s="52"/>
      <c r="AP41" s="52"/>
      <c r="AQ41" s="83"/>
      <c r="AR41" s="52"/>
      <c r="AS41" s="52"/>
      <c r="AT41" s="52"/>
      <c r="AU41" s="84"/>
      <c r="AV41" s="68"/>
      <c r="AW41" s="68"/>
      <c r="AX41" s="68"/>
      <c r="AY41" s="68"/>
      <c r="AZ41" s="68"/>
      <c r="BA41" s="69"/>
    </row>
    <row r="42" spans="2:53" ht="18" thickBot="1" x14ac:dyDescent="0.45">
      <c r="B42" s="70"/>
      <c r="C42" s="71"/>
      <c r="D42" s="71"/>
      <c r="E42" s="72"/>
      <c r="F42" s="70"/>
      <c r="G42" s="71"/>
      <c r="H42" s="72"/>
      <c r="I42" s="71"/>
      <c r="J42" s="71"/>
      <c r="K42" s="71"/>
      <c r="L42" s="71"/>
      <c r="M42" s="70"/>
      <c r="N42" s="71"/>
      <c r="O42" s="71"/>
      <c r="P42" s="72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85"/>
      <c r="AI42" s="53"/>
      <c r="AJ42" s="53"/>
      <c r="AK42" s="53"/>
      <c r="AL42" s="86"/>
      <c r="AM42" s="53"/>
      <c r="AN42" s="53"/>
      <c r="AO42" s="53"/>
      <c r="AP42" s="53"/>
      <c r="AQ42" s="85"/>
      <c r="AR42" s="53"/>
      <c r="AS42" s="53"/>
      <c r="AT42" s="53"/>
      <c r="AU42" s="86"/>
      <c r="AV42" s="71"/>
      <c r="AW42" s="71"/>
      <c r="AX42" s="71"/>
      <c r="AY42" s="71"/>
      <c r="AZ42" s="71"/>
      <c r="BA42" s="72"/>
    </row>
    <row r="43" spans="2:53" x14ac:dyDescent="0.4">
      <c r="B43" s="30">
        <v>20</v>
      </c>
      <c r="C43" s="31"/>
      <c r="D43" s="31"/>
      <c r="E43" s="32"/>
      <c r="F43" s="87">
        <v>20</v>
      </c>
      <c r="G43" s="88"/>
      <c r="H43" s="89"/>
      <c r="I43" s="87">
        <v>22.2</v>
      </c>
      <c r="J43" s="88"/>
      <c r="K43" s="88"/>
      <c r="L43" s="89"/>
      <c r="M43" s="87" t="s">
        <v>71</v>
      </c>
      <c r="N43" s="88"/>
      <c r="O43" s="88"/>
      <c r="P43" s="89"/>
      <c r="Q43" s="90" t="s">
        <v>89</v>
      </c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7"/>
      <c r="AH43" s="94" t="s">
        <v>90</v>
      </c>
      <c r="AI43" s="95"/>
      <c r="AJ43" s="95"/>
      <c r="AK43" s="95"/>
      <c r="AL43" s="96"/>
      <c r="AM43" s="87" t="s">
        <v>72</v>
      </c>
      <c r="AN43" s="88"/>
      <c r="AO43" s="88"/>
      <c r="AP43" s="89"/>
      <c r="AQ43" s="91">
        <v>410000</v>
      </c>
      <c r="AR43" s="92"/>
      <c r="AS43" s="92"/>
      <c r="AT43" s="92"/>
      <c r="AU43" s="93"/>
      <c r="AV43" s="91">
        <f>F43*AQ43</f>
        <v>8200000</v>
      </c>
      <c r="AW43" s="92"/>
      <c r="AX43" s="92"/>
      <c r="AY43" s="92"/>
      <c r="AZ43" s="92"/>
      <c r="BA43" s="93"/>
    </row>
    <row r="44" spans="2:53" x14ac:dyDescent="0.4">
      <c r="B44" s="30"/>
      <c r="C44" s="31"/>
      <c r="D44" s="31"/>
      <c r="E44" s="32"/>
      <c r="F44" s="30"/>
      <c r="G44" s="31"/>
      <c r="H44" s="32"/>
      <c r="I44" s="141"/>
      <c r="J44" s="142"/>
      <c r="K44" s="142"/>
      <c r="L44" s="143"/>
      <c r="M44" s="30"/>
      <c r="N44" s="31"/>
      <c r="O44" s="31"/>
      <c r="P44" s="32"/>
      <c r="Q44" s="144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2"/>
      <c r="AH44" s="30"/>
      <c r="AI44" s="31"/>
      <c r="AJ44" s="31"/>
      <c r="AK44" s="31"/>
      <c r="AL44" s="32"/>
      <c r="AM44" s="30"/>
      <c r="AN44" s="31"/>
      <c r="AO44" s="31"/>
      <c r="AP44" s="32"/>
      <c r="AQ44" s="138"/>
      <c r="AR44" s="139"/>
      <c r="AS44" s="139"/>
      <c r="AT44" s="139"/>
      <c r="AU44" s="140"/>
      <c r="AV44" s="138">
        <f t="shared" ref="AV44:AV54" si="0">F44*AQ44</f>
        <v>0</v>
      </c>
      <c r="AW44" s="139"/>
      <c r="AX44" s="139"/>
      <c r="AY44" s="139"/>
      <c r="AZ44" s="139"/>
      <c r="BA44" s="140"/>
    </row>
    <row r="45" spans="2:53" x14ac:dyDescent="0.4">
      <c r="B45" s="30"/>
      <c r="C45" s="31"/>
      <c r="D45" s="31"/>
      <c r="E45" s="32"/>
      <c r="F45" s="30"/>
      <c r="G45" s="31"/>
      <c r="H45" s="32"/>
      <c r="I45" s="141"/>
      <c r="J45" s="142"/>
      <c r="K45" s="142"/>
      <c r="L45" s="143"/>
      <c r="M45" s="30"/>
      <c r="N45" s="31"/>
      <c r="O45" s="31"/>
      <c r="P45" s="32"/>
      <c r="Q45" s="144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2"/>
      <c r="AH45" s="30"/>
      <c r="AI45" s="31"/>
      <c r="AJ45" s="31"/>
      <c r="AK45" s="31"/>
      <c r="AL45" s="32"/>
      <c r="AM45" s="30"/>
      <c r="AN45" s="31"/>
      <c r="AO45" s="31"/>
      <c r="AP45" s="32"/>
      <c r="AQ45" s="138"/>
      <c r="AR45" s="139"/>
      <c r="AS45" s="139"/>
      <c r="AT45" s="139"/>
      <c r="AU45" s="140"/>
      <c r="AV45" s="138">
        <f t="shared" ref="AV45" si="1">F45*AQ45</f>
        <v>0</v>
      </c>
      <c r="AW45" s="139"/>
      <c r="AX45" s="139"/>
      <c r="AY45" s="139"/>
      <c r="AZ45" s="139"/>
      <c r="BA45" s="140"/>
    </row>
    <row r="46" spans="2:53" x14ac:dyDescent="0.4">
      <c r="B46" s="30"/>
      <c r="C46" s="31"/>
      <c r="D46" s="31"/>
      <c r="E46" s="32"/>
      <c r="F46" s="30"/>
      <c r="G46" s="31"/>
      <c r="H46" s="32"/>
      <c r="I46" s="30"/>
      <c r="J46" s="31"/>
      <c r="K46" s="31"/>
      <c r="L46" s="32"/>
      <c r="M46" s="30"/>
      <c r="N46" s="31"/>
      <c r="O46" s="31"/>
      <c r="P46" s="32"/>
      <c r="Q46" s="144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2"/>
      <c r="AH46" s="30"/>
      <c r="AI46" s="31"/>
      <c r="AJ46" s="31"/>
      <c r="AK46" s="31"/>
      <c r="AL46" s="32"/>
      <c r="AM46" s="30"/>
      <c r="AN46" s="31"/>
      <c r="AO46" s="31"/>
      <c r="AP46" s="32"/>
      <c r="AQ46" s="138"/>
      <c r="AR46" s="139"/>
      <c r="AS46" s="139"/>
      <c r="AT46" s="139"/>
      <c r="AU46" s="140"/>
      <c r="AV46" s="138">
        <f t="shared" si="0"/>
        <v>0</v>
      </c>
      <c r="AW46" s="139"/>
      <c r="AX46" s="139"/>
      <c r="AY46" s="139"/>
      <c r="AZ46" s="139"/>
      <c r="BA46" s="140"/>
    </row>
    <row r="47" spans="2:53" x14ac:dyDescent="0.4">
      <c r="B47" s="30"/>
      <c r="C47" s="31"/>
      <c r="D47" s="31"/>
      <c r="E47" s="32"/>
      <c r="F47" s="30"/>
      <c r="G47" s="31"/>
      <c r="H47" s="32"/>
      <c r="I47" s="30"/>
      <c r="J47" s="31"/>
      <c r="K47" s="31"/>
      <c r="L47" s="32"/>
      <c r="M47" s="30"/>
      <c r="N47" s="31"/>
      <c r="O47" s="31"/>
      <c r="P47" s="32"/>
      <c r="Q47" s="144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2"/>
      <c r="AH47" s="30"/>
      <c r="AI47" s="31"/>
      <c r="AJ47" s="31"/>
      <c r="AK47" s="31"/>
      <c r="AL47" s="32"/>
      <c r="AM47" s="30"/>
      <c r="AN47" s="31"/>
      <c r="AO47" s="31"/>
      <c r="AP47" s="32"/>
      <c r="AQ47" s="138"/>
      <c r="AR47" s="139"/>
      <c r="AS47" s="139"/>
      <c r="AT47" s="139"/>
      <c r="AU47" s="140"/>
      <c r="AV47" s="138">
        <f t="shared" si="0"/>
        <v>0</v>
      </c>
      <c r="AW47" s="139"/>
      <c r="AX47" s="139"/>
      <c r="AY47" s="139"/>
      <c r="AZ47" s="139"/>
      <c r="BA47" s="140"/>
    </row>
    <row r="48" spans="2:53" x14ac:dyDescent="0.4">
      <c r="B48" s="30"/>
      <c r="C48" s="31"/>
      <c r="D48" s="31"/>
      <c r="E48" s="32"/>
      <c r="F48" s="30"/>
      <c r="G48" s="31"/>
      <c r="H48" s="32"/>
      <c r="I48" s="30"/>
      <c r="J48" s="31"/>
      <c r="K48" s="31"/>
      <c r="L48" s="32"/>
      <c r="M48" s="30"/>
      <c r="N48" s="31"/>
      <c r="O48" s="31"/>
      <c r="P48" s="32"/>
      <c r="Q48" s="144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2"/>
      <c r="AH48" s="30"/>
      <c r="AI48" s="31"/>
      <c r="AJ48" s="31"/>
      <c r="AK48" s="31"/>
      <c r="AL48" s="32"/>
      <c r="AM48" s="30"/>
      <c r="AN48" s="31"/>
      <c r="AO48" s="31"/>
      <c r="AP48" s="32"/>
      <c r="AQ48" s="138"/>
      <c r="AR48" s="139"/>
      <c r="AS48" s="139"/>
      <c r="AT48" s="139"/>
      <c r="AU48" s="140"/>
      <c r="AV48" s="138">
        <f t="shared" si="0"/>
        <v>0</v>
      </c>
      <c r="AW48" s="139"/>
      <c r="AX48" s="139"/>
      <c r="AY48" s="139"/>
      <c r="AZ48" s="139"/>
      <c r="BA48" s="140"/>
    </row>
    <row r="49" spans="2:53" x14ac:dyDescent="0.4">
      <c r="B49" s="30"/>
      <c r="C49" s="31"/>
      <c r="D49" s="31"/>
      <c r="E49" s="32"/>
      <c r="F49" s="30"/>
      <c r="G49" s="31"/>
      <c r="H49" s="32"/>
      <c r="I49" s="30"/>
      <c r="J49" s="31"/>
      <c r="K49" s="31"/>
      <c r="L49" s="32"/>
      <c r="M49" s="30"/>
      <c r="N49" s="31"/>
      <c r="O49" s="31"/>
      <c r="P49" s="32"/>
      <c r="Q49" s="144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2"/>
      <c r="AH49" s="30"/>
      <c r="AI49" s="31"/>
      <c r="AJ49" s="31"/>
      <c r="AK49" s="31"/>
      <c r="AL49" s="32"/>
      <c r="AM49" s="30"/>
      <c r="AN49" s="31"/>
      <c r="AO49" s="31"/>
      <c r="AP49" s="32"/>
      <c r="AQ49" s="138"/>
      <c r="AR49" s="139"/>
      <c r="AS49" s="139"/>
      <c r="AT49" s="139"/>
      <c r="AU49" s="140"/>
      <c r="AV49" s="138">
        <f t="shared" si="0"/>
        <v>0</v>
      </c>
      <c r="AW49" s="139"/>
      <c r="AX49" s="139"/>
      <c r="AY49" s="139"/>
      <c r="AZ49" s="139"/>
      <c r="BA49" s="140"/>
    </row>
    <row r="50" spans="2:53" x14ac:dyDescent="0.4">
      <c r="B50" s="30"/>
      <c r="C50" s="31"/>
      <c r="D50" s="31"/>
      <c r="E50" s="32"/>
      <c r="F50" s="30"/>
      <c r="G50" s="31"/>
      <c r="H50" s="32"/>
      <c r="I50" s="30"/>
      <c r="J50" s="31"/>
      <c r="K50" s="31"/>
      <c r="L50" s="32"/>
      <c r="M50" s="30"/>
      <c r="N50" s="31"/>
      <c r="O50" s="31"/>
      <c r="P50" s="32"/>
      <c r="Q50" s="144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2"/>
      <c r="AH50" s="30"/>
      <c r="AI50" s="31"/>
      <c r="AJ50" s="31"/>
      <c r="AK50" s="31"/>
      <c r="AL50" s="32"/>
      <c r="AM50" s="30"/>
      <c r="AN50" s="31"/>
      <c r="AO50" s="31"/>
      <c r="AP50" s="32"/>
      <c r="AQ50" s="138"/>
      <c r="AR50" s="139"/>
      <c r="AS50" s="139"/>
      <c r="AT50" s="139"/>
      <c r="AU50" s="140"/>
      <c r="AV50" s="138">
        <f t="shared" si="0"/>
        <v>0</v>
      </c>
      <c r="AW50" s="139"/>
      <c r="AX50" s="139"/>
      <c r="AY50" s="139"/>
      <c r="AZ50" s="139"/>
      <c r="BA50" s="140"/>
    </row>
    <row r="51" spans="2:53" x14ac:dyDescent="0.4">
      <c r="B51" s="30"/>
      <c r="C51" s="31"/>
      <c r="D51" s="31"/>
      <c r="E51" s="32"/>
      <c r="F51" s="30"/>
      <c r="G51" s="31"/>
      <c r="H51" s="32"/>
      <c r="I51" s="30"/>
      <c r="J51" s="31"/>
      <c r="K51" s="31"/>
      <c r="L51" s="32"/>
      <c r="M51" s="30"/>
      <c r="N51" s="31"/>
      <c r="O51" s="31"/>
      <c r="P51" s="32"/>
      <c r="Q51" s="144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2"/>
      <c r="AH51" s="30"/>
      <c r="AI51" s="31"/>
      <c r="AJ51" s="31"/>
      <c r="AK51" s="31"/>
      <c r="AL51" s="32"/>
      <c r="AM51" s="30"/>
      <c r="AN51" s="31"/>
      <c r="AO51" s="31"/>
      <c r="AP51" s="32"/>
      <c r="AQ51" s="138"/>
      <c r="AR51" s="139"/>
      <c r="AS51" s="139"/>
      <c r="AT51" s="139"/>
      <c r="AU51" s="140"/>
      <c r="AV51" s="138">
        <f t="shared" si="0"/>
        <v>0</v>
      </c>
      <c r="AW51" s="139"/>
      <c r="AX51" s="139"/>
      <c r="AY51" s="139"/>
      <c r="AZ51" s="139"/>
      <c r="BA51" s="140"/>
    </row>
    <row r="52" spans="2:53" x14ac:dyDescent="0.4">
      <c r="B52" s="30"/>
      <c r="C52" s="31"/>
      <c r="D52" s="31"/>
      <c r="E52" s="32"/>
      <c r="F52" s="30"/>
      <c r="G52" s="31"/>
      <c r="H52" s="32"/>
      <c r="I52" s="30"/>
      <c r="J52" s="31"/>
      <c r="K52" s="31"/>
      <c r="L52" s="32"/>
      <c r="M52" s="30"/>
      <c r="N52" s="31"/>
      <c r="O52" s="31"/>
      <c r="P52" s="32"/>
      <c r="Q52" s="144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2"/>
      <c r="AH52" s="30"/>
      <c r="AI52" s="31"/>
      <c r="AJ52" s="31"/>
      <c r="AK52" s="31"/>
      <c r="AL52" s="32"/>
      <c r="AM52" s="30"/>
      <c r="AN52" s="31"/>
      <c r="AO52" s="31"/>
      <c r="AP52" s="32"/>
      <c r="AQ52" s="138"/>
      <c r="AR52" s="139"/>
      <c r="AS52" s="139"/>
      <c r="AT52" s="139"/>
      <c r="AU52" s="140"/>
      <c r="AV52" s="138">
        <f t="shared" si="0"/>
        <v>0</v>
      </c>
      <c r="AW52" s="139"/>
      <c r="AX52" s="139"/>
      <c r="AY52" s="139"/>
      <c r="AZ52" s="139"/>
      <c r="BA52" s="140"/>
    </row>
    <row r="53" spans="2:53" x14ac:dyDescent="0.4">
      <c r="B53" s="30"/>
      <c r="C53" s="31"/>
      <c r="D53" s="31"/>
      <c r="E53" s="32"/>
      <c r="F53" s="30"/>
      <c r="G53" s="31"/>
      <c r="H53" s="32"/>
      <c r="I53" s="30"/>
      <c r="J53" s="31"/>
      <c r="K53" s="31"/>
      <c r="L53" s="32"/>
      <c r="M53" s="30"/>
      <c r="N53" s="31"/>
      <c r="O53" s="31"/>
      <c r="P53" s="32"/>
      <c r="Q53" s="144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2"/>
      <c r="AH53" s="30"/>
      <c r="AI53" s="31"/>
      <c r="AJ53" s="31"/>
      <c r="AK53" s="31"/>
      <c r="AL53" s="32"/>
      <c r="AM53" s="30"/>
      <c r="AN53" s="31"/>
      <c r="AO53" s="31"/>
      <c r="AP53" s="32"/>
      <c r="AQ53" s="138"/>
      <c r="AR53" s="139"/>
      <c r="AS53" s="139"/>
      <c r="AT53" s="139"/>
      <c r="AU53" s="140"/>
      <c r="AV53" s="138">
        <f t="shared" si="0"/>
        <v>0</v>
      </c>
      <c r="AW53" s="139"/>
      <c r="AX53" s="139"/>
      <c r="AY53" s="139"/>
      <c r="AZ53" s="139"/>
      <c r="BA53" s="140"/>
    </row>
    <row r="54" spans="2:53" ht="18" thickBot="1" x14ac:dyDescent="0.45">
      <c r="B54" s="156"/>
      <c r="C54" s="157"/>
      <c r="D54" s="157"/>
      <c r="E54" s="158"/>
      <c r="F54" s="156"/>
      <c r="G54" s="157"/>
      <c r="H54" s="158"/>
      <c r="I54" s="156"/>
      <c r="J54" s="157"/>
      <c r="K54" s="157"/>
      <c r="L54" s="158"/>
      <c r="M54" s="156"/>
      <c r="N54" s="157"/>
      <c r="O54" s="157"/>
      <c r="P54" s="158"/>
      <c r="Q54" s="159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9"/>
      <c r="AH54" s="156"/>
      <c r="AI54" s="157"/>
      <c r="AJ54" s="157"/>
      <c r="AK54" s="157"/>
      <c r="AL54" s="158"/>
      <c r="AM54" s="156"/>
      <c r="AN54" s="157"/>
      <c r="AO54" s="157"/>
      <c r="AP54" s="158"/>
      <c r="AQ54" s="97"/>
      <c r="AR54" s="98"/>
      <c r="AS54" s="98"/>
      <c r="AT54" s="98"/>
      <c r="AU54" s="99"/>
      <c r="AV54" s="97">
        <f t="shared" si="0"/>
        <v>0</v>
      </c>
      <c r="AW54" s="98"/>
      <c r="AX54" s="98"/>
      <c r="AY54" s="98"/>
      <c r="AZ54" s="98"/>
      <c r="BA54" s="99"/>
    </row>
    <row r="55" spans="2:53" x14ac:dyDescent="0.4">
      <c r="B55" s="64" t="s">
        <v>49</v>
      </c>
      <c r="C55" s="65"/>
      <c r="D55" s="65"/>
      <c r="E55" s="66"/>
      <c r="F55" s="64" t="s">
        <v>50</v>
      </c>
      <c r="G55" s="65"/>
      <c r="H55" s="66"/>
      <c r="I55" s="64" t="s">
        <v>51</v>
      </c>
      <c r="J55" s="65"/>
      <c r="K55" s="65"/>
      <c r="L55" s="65"/>
      <c r="M55" s="51" t="s">
        <v>52</v>
      </c>
      <c r="N55" s="65"/>
      <c r="O55" s="65"/>
      <c r="P55" s="66"/>
      <c r="Q55" s="64" t="s">
        <v>53</v>
      </c>
      <c r="R55" s="65"/>
      <c r="S55" s="65"/>
      <c r="T55" s="65"/>
      <c r="U55" s="51" t="s">
        <v>52</v>
      </c>
      <c r="V55" s="65"/>
      <c r="W55" s="65"/>
      <c r="X55" s="66"/>
      <c r="Y55" s="109" t="s">
        <v>54</v>
      </c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1"/>
      <c r="AQ55" s="119" t="s">
        <v>55</v>
      </c>
      <c r="AR55" s="133"/>
      <c r="AS55" s="133"/>
      <c r="AT55" s="133"/>
      <c r="AU55" s="134"/>
      <c r="AV55" s="124">
        <f>SUM(AV43:BA54)</f>
        <v>8200000</v>
      </c>
      <c r="AW55" s="125"/>
      <c r="AX55" s="125"/>
      <c r="AY55" s="125"/>
      <c r="AZ55" s="125"/>
      <c r="BA55" s="126"/>
    </row>
    <row r="56" spans="2:53" x14ac:dyDescent="0.4">
      <c r="B56" s="67"/>
      <c r="C56" s="68"/>
      <c r="D56" s="68"/>
      <c r="E56" s="69"/>
      <c r="F56" s="67"/>
      <c r="G56" s="68"/>
      <c r="H56" s="69"/>
      <c r="I56" s="67"/>
      <c r="J56" s="68"/>
      <c r="K56" s="68"/>
      <c r="L56" s="68"/>
      <c r="M56" s="68"/>
      <c r="N56" s="68"/>
      <c r="O56" s="68"/>
      <c r="P56" s="69"/>
      <c r="Q56" s="67"/>
      <c r="R56" s="68"/>
      <c r="S56" s="68"/>
      <c r="T56" s="68"/>
      <c r="U56" s="68"/>
      <c r="V56" s="68"/>
      <c r="W56" s="68"/>
      <c r="X56" s="69"/>
      <c r="Y56" s="112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4"/>
      <c r="AQ56" s="40"/>
      <c r="AR56" s="40"/>
      <c r="AS56" s="40"/>
      <c r="AT56" s="40"/>
      <c r="AU56" s="135"/>
      <c r="AV56" s="127"/>
      <c r="AW56" s="128"/>
      <c r="AX56" s="128"/>
      <c r="AY56" s="128"/>
      <c r="AZ56" s="128"/>
      <c r="BA56" s="129"/>
    </row>
    <row r="57" spans="2:53" ht="18" thickBot="1" x14ac:dyDescent="0.45">
      <c r="B57" s="70"/>
      <c r="C57" s="71"/>
      <c r="D57" s="71"/>
      <c r="E57" s="72"/>
      <c r="F57" s="70"/>
      <c r="G57" s="71"/>
      <c r="H57" s="72"/>
      <c r="I57" s="70"/>
      <c r="J57" s="71"/>
      <c r="K57" s="71"/>
      <c r="L57" s="71"/>
      <c r="M57" s="71"/>
      <c r="N57" s="71"/>
      <c r="O57" s="71"/>
      <c r="P57" s="72"/>
      <c r="Q57" s="70"/>
      <c r="R57" s="71"/>
      <c r="S57" s="71"/>
      <c r="T57" s="71"/>
      <c r="U57" s="71"/>
      <c r="V57" s="71"/>
      <c r="W57" s="71"/>
      <c r="X57" s="72"/>
      <c r="Y57" s="112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4"/>
      <c r="AQ57" s="136"/>
      <c r="AR57" s="136"/>
      <c r="AS57" s="136"/>
      <c r="AT57" s="136"/>
      <c r="AU57" s="137"/>
      <c r="AV57" s="130"/>
      <c r="AW57" s="131"/>
      <c r="AX57" s="131"/>
      <c r="AY57" s="131"/>
      <c r="AZ57" s="131"/>
      <c r="BA57" s="132"/>
    </row>
    <row r="58" spans="2:53" ht="17.399999999999999" customHeight="1" x14ac:dyDescent="0.4">
      <c r="B58" s="94" t="s">
        <v>92</v>
      </c>
      <c r="C58" s="95"/>
      <c r="D58" s="95"/>
      <c r="E58" s="95"/>
      <c r="F58" s="102" t="str">
        <f>SUM(F43:H54)&amp;IF(RIGHT(B58,3)="PLT","CT","")</f>
        <v>20CT</v>
      </c>
      <c r="G58" s="103"/>
      <c r="H58" s="104"/>
      <c r="I58" s="94">
        <f>(F43*I43)+(F44*I44)+(F45*I45)+(F46*I46)+(F47*I47)+(F48*I48)+(F49*I49)+(F50*I50)+(F51*I51)+(F52*I52)+(F53*I53)+(F54*I54)</f>
        <v>444</v>
      </c>
      <c r="J58" s="95"/>
      <c r="K58" s="95"/>
      <c r="L58" s="95"/>
      <c r="M58" s="95"/>
      <c r="N58" s="95"/>
      <c r="O58" s="95"/>
      <c r="P58" s="96"/>
      <c r="Q58" s="94">
        <v>445</v>
      </c>
      <c r="R58" s="95"/>
      <c r="S58" s="95"/>
      <c r="T58" s="95"/>
      <c r="U58" s="95"/>
      <c r="V58" s="95"/>
      <c r="W58" s="95"/>
      <c r="X58" s="96"/>
      <c r="Y58" s="112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4"/>
      <c r="AQ58" s="118" t="s">
        <v>56</v>
      </c>
      <c r="AR58" s="119"/>
      <c r="AS58" s="119"/>
      <c r="AT58" s="119"/>
      <c r="AU58" s="120"/>
      <c r="AV58" s="124">
        <v>0</v>
      </c>
      <c r="AW58" s="125"/>
      <c r="AX58" s="125"/>
      <c r="AY58" s="125"/>
      <c r="AZ58" s="125"/>
      <c r="BA58" s="126"/>
    </row>
    <row r="59" spans="2:53" ht="18" thickBot="1" x14ac:dyDescent="0.45">
      <c r="B59" s="100"/>
      <c r="C59" s="101"/>
      <c r="D59" s="101"/>
      <c r="E59" s="101"/>
      <c r="F59" s="105"/>
      <c r="G59" s="106"/>
      <c r="H59" s="107"/>
      <c r="I59" s="100"/>
      <c r="J59" s="101"/>
      <c r="K59" s="101"/>
      <c r="L59" s="101"/>
      <c r="M59" s="101"/>
      <c r="N59" s="101"/>
      <c r="O59" s="101"/>
      <c r="P59" s="108"/>
      <c r="Q59" s="100"/>
      <c r="R59" s="101"/>
      <c r="S59" s="101"/>
      <c r="T59" s="101"/>
      <c r="U59" s="101"/>
      <c r="V59" s="101"/>
      <c r="W59" s="101"/>
      <c r="X59" s="108"/>
      <c r="Y59" s="115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7"/>
      <c r="AQ59" s="121"/>
      <c r="AR59" s="122"/>
      <c r="AS59" s="122"/>
      <c r="AT59" s="122"/>
      <c r="AU59" s="123"/>
      <c r="AV59" s="130"/>
      <c r="AW59" s="131"/>
      <c r="AX59" s="131"/>
      <c r="AY59" s="131"/>
      <c r="AZ59" s="131"/>
      <c r="BA59" s="132"/>
    </row>
    <row r="60" spans="2:53" x14ac:dyDescent="0.4">
      <c r="B60" s="3" t="s">
        <v>57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3"/>
      <c r="AQ60" s="118" t="s">
        <v>58</v>
      </c>
      <c r="AR60" s="119"/>
      <c r="AS60" s="119"/>
      <c r="AT60" s="119"/>
      <c r="AU60" s="120"/>
      <c r="AV60" s="124">
        <v>0</v>
      </c>
      <c r="AW60" s="125"/>
      <c r="AX60" s="125"/>
      <c r="AY60" s="125"/>
      <c r="AZ60" s="125"/>
      <c r="BA60" s="126"/>
    </row>
    <row r="61" spans="2:53" ht="18" thickBot="1" x14ac:dyDescent="0.45">
      <c r="B61" s="16"/>
      <c r="AP61" s="15"/>
      <c r="AQ61" s="121"/>
      <c r="AR61" s="122"/>
      <c r="AS61" s="122"/>
      <c r="AT61" s="122"/>
      <c r="AU61" s="123"/>
      <c r="AV61" s="130"/>
      <c r="AW61" s="131"/>
      <c r="AX61" s="131"/>
      <c r="AY61" s="131"/>
      <c r="AZ61" s="131"/>
      <c r="BA61" s="132"/>
    </row>
    <row r="62" spans="2:53" ht="18" thickBot="1" x14ac:dyDescent="0.45"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1"/>
      <c r="AQ62" s="118" t="s">
        <v>59</v>
      </c>
      <c r="AR62" s="119"/>
      <c r="AS62" s="119"/>
      <c r="AT62" s="119"/>
      <c r="AU62" s="120"/>
      <c r="AV62" s="124">
        <v>0</v>
      </c>
      <c r="AW62" s="125"/>
      <c r="AX62" s="125"/>
      <c r="AY62" s="125"/>
      <c r="AZ62" s="125"/>
      <c r="BA62" s="126"/>
    </row>
    <row r="63" spans="2:53" ht="18" thickBot="1" x14ac:dyDescent="0.45">
      <c r="B63" s="3" t="s">
        <v>64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3"/>
      <c r="AQ63" s="122"/>
      <c r="AR63" s="122"/>
      <c r="AS63" s="122"/>
      <c r="AT63" s="122"/>
      <c r="AU63" s="123"/>
      <c r="AV63" s="130"/>
      <c r="AW63" s="131"/>
      <c r="AX63" s="131"/>
      <c r="AY63" s="131"/>
      <c r="AZ63" s="131"/>
      <c r="BA63" s="132"/>
    </row>
    <row r="64" spans="2:53" x14ac:dyDescent="0.4">
      <c r="B64" s="16"/>
      <c r="AP64" s="15"/>
      <c r="AQ64" s="119" t="s">
        <v>60</v>
      </c>
      <c r="AR64" s="119"/>
      <c r="AS64" s="119"/>
      <c r="AT64" s="119"/>
      <c r="AU64" s="120"/>
      <c r="AV64" s="124">
        <v>0</v>
      </c>
      <c r="AW64" s="125"/>
      <c r="AX64" s="125"/>
      <c r="AY64" s="125"/>
      <c r="AZ64" s="125"/>
      <c r="BA64" s="126"/>
    </row>
    <row r="65" spans="2:53" ht="18" thickBot="1" x14ac:dyDescent="0.45">
      <c r="B65" s="16"/>
      <c r="AP65" s="15"/>
      <c r="AQ65" s="122"/>
      <c r="AR65" s="122"/>
      <c r="AS65" s="122"/>
      <c r="AT65" s="122"/>
      <c r="AU65" s="123"/>
      <c r="AV65" s="130"/>
      <c r="AW65" s="131"/>
      <c r="AX65" s="131"/>
      <c r="AY65" s="131"/>
      <c r="AZ65" s="131"/>
      <c r="BA65" s="132"/>
    </row>
    <row r="66" spans="2:53" ht="18" thickBot="1" x14ac:dyDescent="0.45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1"/>
      <c r="AQ66" s="153" t="s">
        <v>61</v>
      </c>
      <c r="AR66" s="133"/>
      <c r="AS66" s="133"/>
      <c r="AT66" s="133"/>
      <c r="AU66" s="133"/>
      <c r="AV66" s="124">
        <v>0</v>
      </c>
      <c r="AW66" s="125"/>
      <c r="AX66" s="125"/>
      <c r="AY66" s="125"/>
      <c r="AZ66" s="125"/>
      <c r="BA66" s="126"/>
    </row>
    <row r="67" spans="2:53" x14ac:dyDescent="0.4">
      <c r="B67" s="3" t="s">
        <v>65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3"/>
      <c r="AQ67" s="39"/>
      <c r="AR67" s="40"/>
      <c r="AS67" s="40"/>
      <c r="AT67" s="40"/>
      <c r="AU67" s="40"/>
      <c r="AV67" s="127"/>
      <c r="AW67" s="128"/>
      <c r="AX67" s="128"/>
      <c r="AY67" s="128"/>
      <c r="AZ67" s="128"/>
      <c r="BA67" s="129"/>
    </row>
    <row r="68" spans="2:53" ht="18" thickBot="1" x14ac:dyDescent="0.45">
      <c r="B68" s="2" t="s">
        <v>66</v>
      </c>
      <c r="AP68" s="15"/>
      <c r="AQ68" s="154"/>
      <c r="AR68" s="136"/>
      <c r="AS68" s="136"/>
      <c r="AT68" s="136"/>
      <c r="AU68" s="136"/>
      <c r="AV68" s="130"/>
      <c r="AW68" s="131"/>
      <c r="AX68" s="131"/>
      <c r="AY68" s="131"/>
      <c r="AZ68" s="131"/>
      <c r="BA68" s="132"/>
    </row>
    <row r="69" spans="2:53" ht="18" thickBot="1" x14ac:dyDescent="0.45"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1"/>
      <c r="AQ69" s="119" t="s">
        <v>62</v>
      </c>
      <c r="AR69" s="119"/>
      <c r="AS69" s="119"/>
      <c r="AT69" s="119"/>
      <c r="AU69" s="120"/>
      <c r="AV69" s="124">
        <f>SUM(AV55:BA68)</f>
        <v>8200000</v>
      </c>
      <c r="AW69" s="125"/>
      <c r="AX69" s="125"/>
      <c r="AY69" s="125"/>
      <c r="AZ69" s="125"/>
      <c r="BA69" s="126"/>
    </row>
    <row r="70" spans="2:53" ht="18" thickBot="1" x14ac:dyDescent="0.45">
      <c r="B70" s="3" t="s">
        <v>67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3"/>
      <c r="AQ70" s="121"/>
      <c r="AR70" s="122"/>
      <c r="AS70" s="122"/>
      <c r="AT70" s="122"/>
      <c r="AU70" s="123"/>
      <c r="AV70" s="130"/>
      <c r="AW70" s="131"/>
      <c r="AX70" s="131"/>
      <c r="AY70" s="131"/>
      <c r="AZ70" s="131"/>
      <c r="BA70" s="132"/>
    </row>
    <row r="71" spans="2:53" x14ac:dyDescent="0.4">
      <c r="B71" s="2" t="s">
        <v>68</v>
      </c>
      <c r="AP71" s="15"/>
      <c r="AQ71" s="118" t="s">
        <v>63</v>
      </c>
      <c r="AR71" s="119"/>
      <c r="AS71" s="119"/>
      <c r="AT71" s="119"/>
      <c r="AU71" s="120"/>
      <c r="AV71" s="147" t="s">
        <v>76</v>
      </c>
      <c r="AW71" s="148"/>
      <c r="AX71" s="148"/>
      <c r="AY71" s="148"/>
      <c r="AZ71" s="148"/>
      <c r="BA71" s="149"/>
    </row>
    <row r="72" spans="2:53" ht="18" thickBot="1" x14ac:dyDescent="0.45">
      <c r="B72" s="29" t="s">
        <v>9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1"/>
      <c r="AQ72" s="121"/>
      <c r="AR72" s="122"/>
      <c r="AS72" s="122"/>
      <c r="AT72" s="122"/>
      <c r="AU72" s="123"/>
      <c r="AV72" s="150"/>
      <c r="AW72" s="151"/>
      <c r="AX72" s="151"/>
      <c r="AY72" s="151"/>
      <c r="AZ72" s="151"/>
      <c r="BA72" s="152"/>
    </row>
    <row r="73" spans="2:53" x14ac:dyDescent="0.4">
      <c r="B73" s="3" t="s">
        <v>69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3"/>
    </row>
    <row r="74" spans="2:53" x14ac:dyDescent="0.4">
      <c r="B74" s="2" t="s">
        <v>70</v>
      </c>
      <c r="AV74" s="145">
        <f>AO5</f>
        <v>46051</v>
      </c>
      <c r="AW74" s="145"/>
      <c r="AX74" s="145"/>
      <c r="AY74" s="145"/>
      <c r="AZ74" s="145"/>
      <c r="BA74" s="146"/>
    </row>
    <row r="75" spans="2:53" ht="18" thickBot="1" x14ac:dyDescent="0.45"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1"/>
    </row>
    <row r="76" spans="2:53" x14ac:dyDescent="0.4">
      <c r="AV76" s="1" t="s">
        <v>75</v>
      </c>
    </row>
  </sheetData>
  <mergeCells count="196">
    <mergeCell ref="B44:E44"/>
    <mergeCell ref="B43:E43"/>
    <mergeCell ref="AR3:AT3"/>
    <mergeCell ref="AU3:AV3"/>
    <mergeCell ref="AX3:AY3"/>
    <mergeCell ref="AM53:AP53"/>
    <mergeCell ref="AQ53:AU53"/>
    <mergeCell ref="B54:E54"/>
    <mergeCell ref="F54:H54"/>
    <mergeCell ref="I54:L54"/>
    <mergeCell ref="M54:P54"/>
    <mergeCell ref="Q54:AG54"/>
    <mergeCell ref="AH54:AL54"/>
    <mergeCell ref="AM54:AP54"/>
    <mergeCell ref="AQ54:AU54"/>
    <mergeCell ref="B53:E53"/>
    <mergeCell ref="F53:H53"/>
    <mergeCell ref="I53:L53"/>
    <mergeCell ref="M53:P53"/>
    <mergeCell ref="Q53:AG53"/>
    <mergeCell ref="AH53:AL53"/>
    <mergeCell ref="AM51:AP51"/>
    <mergeCell ref="AQ51:AU51"/>
    <mergeCell ref="B52:E52"/>
    <mergeCell ref="F52:H52"/>
    <mergeCell ref="I52:L52"/>
    <mergeCell ref="M52:P52"/>
    <mergeCell ref="Q52:AG52"/>
    <mergeCell ref="AH52:AL52"/>
    <mergeCell ref="AM52:AP52"/>
    <mergeCell ref="AQ52:AU52"/>
    <mergeCell ref="B51:E51"/>
    <mergeCell ref="F51:H51"/>
    <mergeCell ref="I51:L51"/>
    <mergeCell ref="M51:P51"/>
    <mergeCell ref="Q51:AG51"/>
    <mergeCell ref="AH51:AL51"/>
    <mergeCell ref="B50:E50"/>
    <mergeCell ref="F50:H50"/>
    <mergeCell ref="I50:L50"/>
    <mergeCell ref="M50:P50"/>
    <mergeCell ref="Q50:AG50"/>
    <mergeCell ref="AH50:AL50"/>
    <mergeCell ref="AM50:AP50"/>
    <mergeCell ref="AQ50:AU50"/>
    <mergeCell ref="B49:E49"/>
    <mergeCell ref="F49:H49"/>
    <mergeCell ref="I49:L49"/>
    <mergeCell ref="M49:P49"/>
    <mergeCell ref="Q49:AG49"/>
    <mergeCell ref="AH49:AL49"/>
    <mergeCell ref="B48:E48"/>
    <mergeCell ref="F48:H48"/>
    <mergeCell ref="I48:L48"/>
    <mergeCell ref="M48:P48"/>
    <mergeCell ref="Q48:AG48"/>
    <mergeCell ref="AH48:AL48"/>
    <mergeCell ref="AM48:AP48"/>
    <mergeCell ref="AQ48:AU48"/>
    <mergeCell ref="B47:E47"/>
    <mergeCell ref="F47:H47"/>
    <mergeCell ref="I47:L47"/>
    <mergeCell ref="M47:P47"/>
    <mergeCell ref="Q47:AG47"/>
    <mergeCell ref="AH47:AL47"/>
    <mergeCell ref="AV74:BA74"/>
    <mergeCell ref="F44:H44"/>
    <mergeCell ref="I44:L44"/>
    <mergeCell ref="M44:P44"/>
    <mergeCell ref="Q44:AG44"/>
    <mergeCell ref="AM44:AP44"/>
    <mergeCell ref="AQ44:AU44"/>
    <mergeCell ref="AQ69:AU70"/>
    <mergeCell ref="AV69:BA70"/>
    <mergeCell ref="AQ71:AU72"/>
    <mergeCell ref="AV71:BA72"/>
    <mergeCell ref="AQ66:AU68"/>
    <mergeCell ref="AV66:BA68"/>
    <mergeCell ref="AV58:BA59"/>
    <mergeCell ref="AQ60:AU61"/>
    <mergeCell ref="AV60:BA61"/>
    <mergeCell ref="AQ62:AU63"/>
    <mergeCell ref="AV62:BA63"/>
    <mergeCell ref="AM47:AP47"/>
    <mergeCell ref="AQ47:AU47"/>
    <mergeCell ref="I46:L46"/>
    <mergeCell ref="M46:P46"/>
    <mergeCell ref="Q46:AG46"/>
    <mergeCell ref="AH46:AL46"/>
    <mergeCell ref="AQ64:AU65"/>
    <mergeCell ref="AV64:BA65"/>
    <mergeCell ref="AV53:BA53"/>
    <mergeCell ref="AQ45:AU45"/>
    <mergeCell ref="F46:H46"/>
    <mergeCell ref="AV44:BA44"/>
    <mergeCell ref="AV45:BA45"/>
    <mergeCell ref="AV46:BA46"/>
    <mergeCell ref="AV47:BA47"/>
    <mergeCell ref="AV48:BA48"/>
    <mergeCell ref="AV49:BA49"/>
    <mergeCell ref="AV50:BA50"/>
    <mergeCell ref="AV51:BA51"/>
    <mergeCell ref="AV52:BA52"/>
    <mergeCell ref="I45:L45"/>
    <mergeCell ref="M45:P45"/>
    <mergeCell ref="Q45:AG45"/>
    <mergeCell ref="AH45:AL45"/>
    <mergeCell ref="AM45:AP45"/>
    <mergeCell ref="AM46:AP46"/>
    <mergeCell ref="AQ46:AU46"/>
    <mergeCell ref="F45:H45"/>
    <mergeCell ref="AM49:AP49"/>
    <mergeCell ref="AQ49:AU49"/>
    <mergeCell ref="B55:E57"/>
    <mergeCell ref="F55:H57"/>
    <mergeCell ref="I55:L57"/>
    <mergeCell ref="M55:P57"/>
    <mergeCell ref="Q55:T57"/>
    <mergeCell ref="U55:X57"/>
    <mergeCell ref="AV54:BA54"/>
    <mergeCell ref="B58:E59"/>
    <mergeCell ref="F58:H59"/>
    <mergeCell ref="I58:P59"/>
    <mergeCell ref="Q58:X59"/>
    <mergeCell ref="Y55:AP59"/>
    <mergeCell ref="AQ58:AU59"/>
    <mergeCell ref="AV55:BA57"/>
    <mergeCell ref="AQ55:AU57"/>
    <mergeCell ref="AH40:AL42"/>
    <mergeCell ref="AQ40:AU42"/>
    <mergeCell ref="AV40:BA42"/>
    <mergeCell ref="F43:H43"/>
    <mergeCell ref="I43:L43"/>
    <mergeCell ref="M43:P43"/>
    <mergeCell ref="Q43:AG43"/>
    <mergeCell ref="AM43:AP43"/>
    <mergeCell ref="AQ43:AU43"/>
    <mergeCell ref="AV43:BA43"/>
    <mergeCell ref="AH43:AL43"/>
    <mergeCell ref="AG36:AZ36"/>
    <mergeCell ref="B46:E46"/>
    <mergeCell ref="AB24:AN24"/>
    <mergeCell ref="AB28:AN28"/>
    <mergeCell ref="AO28:BA28"/>
    <mergeCell ref="AB22:AN22"/>
    <mergeCell ref="B2:BA2"/>
    <mergeCell ref="B40:E42"/>
    <mergeCell ref="F40:H42"/>
    <mergeCell ref="I40:L42"/>
    <mergeCell ref="M40:P42"/>
    <mergeCell ref="Q40:AG42"/>
    <mergeCell ref="AB15:AN15"/>
    <mergeCell ref="AO5:BA5"/>
    <mergeCell ref="AB6:BA6"/>
    <mergeCell ref="AB7:BA7"/>
    <mergeCell ref="AO10:BA10"/>
    <mergeCell ref="AB11:AN11"/>
    <mergeCell ref="AO11:BA11"/>
    <mergeCell ref="AB8:AN8"/>
    <mergeCell ref="AO8:BA8"/>
    <mergeCell ref="AB9:AN9"/>
    <mergeCell ref="AO9:BA9"/>
    <mergeCell ref="AB10:AN10"/>
    <mergeCell ref="O23:AA23"/>
    <mergeCell ref="B28:N28"/>
    <mergeCell ref="O28:AA28"/>
    <mergeCell ref="B24:N24"/>
    <mergeCell ref="B20:N20"/>
    <mergeCell ref="B21:N21"/>
    <mergeCell ref="O21:AA21"/>
    <mergeCell ref="B22:N22"/>
    <mergeCell ref="O22:AA22"/>
    <mergeCell ref="B45:E45"/>
    <mergeCell ref="AB5:AN5"/>
    <mergeCell ref="B19:N19"/>
    <mergeCell ref="B14:N14"/>
    <mergeCell ref="B15:N15"/>
    <mergeCell ref="O7:AA7"/>
    <mergeCell ref="O8:AA8"/>
    <mergeCell ref="O9:AA9"/>
    <mergeCell ref="O14:AA14"/>
    <mergeCell ref="B5:N5"/>
    <mergeCell ref="B10:N10"/>
    <mergeCell ref="B6:N6"/>
    <mergeCell ref="B7:N7"/>
    <mergeCell ref="B8:N8"/>
    <mergeCell ref="B9:N9"/>
    <mergeCell ref="AB14:AN14"/>
    <mergeCell ref="AH44:AL44"/>
    <mergeCell ref="AM40:AP42"/>
    <mergeCell ref="B38:N38"/>
    <mergeCell ref="B39:N39"/>
    <mergeCell ref="O38:BA38"/>
    <mergeCell ref="O39:BA39"/>
    <mergeCell ref="AO14:BA14"/>
    <mergeCell ref="B23:N23"/>
  </mergeCells>
  <phoneticPr fontId="3" type="noConversion"/>
  <hyperlinks>
    <hyperlink ref="O9" r:id="rId1" xr:uid="{4A7A0E57-54BF-47EF-9D30-A8885DE15D48}"/>
    <hyperlink ref="O23" r:id="rId2" xr:uid="{90792036-5B5B-42F7-9BFD-73D153C1EF22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378D-2C6E-4DBB-BC67-0B6D27581740}">
  <dimension ref="H10:J11"/>
  <sheetViews>
    <sheetView workbookViewId="0">
      <selection activeCell="L10" sqref="L10"/>
    </sheetView>
  </sheetViews>
  <sheetFormatPr defaultRowHeight="17.399999999999999" x14ac:dyDescent="0.4"/>
  <sheetData>
    <row r="10" spans="8:10" x14ac:dyDescent="0.4">
      <c r="H10">
        <f>7.4+5.7</f>
        <v>13.100000000000001</v>
      </c>
      <c r="J10">
        <f>7.4/H11</f>
        <v>17.511450381679388</v>
      </c>
    </row>
    <row r="11" spans="8:10" x14ac:dyDescent="0.4">
      <c r="H11">
        <f>H10/31</f>
        <v>0.42258064516129035</v>
      </c>
      <c r="J11">
        <f>5.7/H11</f>
        <v>13.48854961832061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코바테크0001</dc:creator>
  <cp:lastModifiedBy>성관 권</cp:lastModifiedBy>
  <cp:lastPrinted>2025-01-03T02:32:19Z</cp:lastPrinted>
  <dcterms:created xsi:type="dcterms:W3CDTF">2022-07-25T10:25:36Z</dcterms:created>
  <dcterms:modified xsi:type="dcterms:W3CDTF">2026-01-29T05:07:36Z</dcterms:modified>
</cp:coreProperties>
</file>